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izmo\Downloads\"/>
    </mc:Choice>
  </mc:AlternateContent>
  <xr:revisionPtr revIDLastSave="0" documentId="13_ncr:1_{810F14EF-EED9-4376-8201-CB480DBC340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система" sheetId="2" state="veryHidden" r:id="rId2"/>
    <sheet name="тс" sheetId="8" state="veryHidden" r:id="rId3"/>
  </sheets>
  <externalReferences>
    <externalReference r:id="rId4"/>
    <externalReference r:id="rId5"/>
  </externalReferences>
  <definedNames>
    <definedName name="_xlnm._FilterDatabase" localSheetId="0" hidden="1">DATA!$B$6:$F$50</definedName>
    <definedName name="_xlnm.Extract" localSheetId="0">DATA!#REF!</definedName>
    <definedName name="К1">[1]Старт!$T$1:$U$1</definedName>
    <definedName name="К2">[1]Старт!$T$2:$U$2</definedName>
    <definedName name="команды">#REF!</definedName>
    <definedName name="_xlnm.Criteria" localSheetId="0">DATA!#REF!</definedName>
    <definedName name="Статистика">[1]Старт!$Q$1:$Q$2</definedName>
    <definedName name="Страны">'[2]Список стран'!$A$2:$A$58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B97" i="2" l="1"/>
  <c r="I88" i="2"/>
  <c r="L88" i="2" s="1"/>
  <c r="H88" i="2"/>
  <c r="J88" i="2" s="1"/>
  <c r="L51" i="2"/>
  <c r="AD76" i="2"/>
  <c r="AC77" i="2"/>
  <c r="AC76" i="2"/>
  <c r="AD73" i="2"/>
  <c r="AC73" i="2"/>
  <c r="AB73" i="2"/>
  <c r="AD75" i="2"/>
  <c r="AE75" i="2" s="1"/>
  <c r="K88" i="2" l="1"/>
  <c r="DY78" i="2"/>
  <c r="DO99" i="2" s="1"/>
  <c r="DY79" i="2"/>
  <c r="DO100" i="2" s="1"/>
  <c r="DZ79" i="2"/>
  <c r="DZ78" i="2"/>
  <c r="EA78" i="2"/>
  <c r="DR99" i="2" s="1"/>
  <c r="EA79" i="2"/>
  <c r="DQ100" i="2" s="1"/>
  <c r="DY80" i="2"/>
  <c r="DO101" i="2" s="1"/>
  <c r="EA80" i="2"/>
  <c r="DR101" i="2" s="1"/>
  <c r="DY81" i="2"/>
  <c r="DO102" i="2" s="1"/>
  <c r="EA81" i="2"/>
  <c r="DQ102" i="2" s="1"/>
  <c r="DY82" i="2"/>
  <c r="DO103" i="2" s="1"/>
  <c r="EA82" i="2"/>
  <c r="DQ103" i="2" s="1"/>
  <c r="DQ78" i="2"/>
  <c r="DO92" i="2" s="1"/>
  <c r="DQ79" i="2"/>
  <c r="DO93" i="2" s="1"/>
  <c r="DR79" i="2"/>
  <c r="DP93" i="2" s="1"/>
  <c r="DR78" i="2"/>
  <c r="DS78" i="2"/>
  <c r="DS79" i="2"/>
  <c r="DR93" i="2" s="1"/>
  <c r="DQ80" i="2"/>
  <c r="DO94" i="2" s="1"/>
  <c r="DS80" i="2"/>
  <c r="DQ94" i="2" s="1"/>
  <c r="DQ81" i="2"/>
  <c r="DO95" i="2" s="1"/>
  <c r="DS81" i="2"/>
  <c r="DR95" i="2" s="1"/>
  <c r="DQ82" i="2"/>
  <c r="DO96" i="2"/>
  <c r="DS82" i="2"/>
  <c r="DQ96" i="2" s="1"/>
  <c r="DY97" i="2"/>
  <c r="DY90" i="2"/>
  <c r="G1" i="1"/>
  <c r="G450" i="2"/>
  <c r="I450" i="2" s="1"/>
  <c r="K450" i="2" s="1"/>
  <c r="G451" i="2"/>
  <c r="I451" i="2" s="1"/>
  <c r="J451" i="2" s="1"/>
  <c r="G452" i="2"/>
  <c r="I452" i="2" s="1"/>
  <c r="K452" i="2" s="1"/>
  <c r="G453" i="2"/>
  <c r="I453" i="2" s="1"/>
  <c r="G454" i="2"/>
  <c r="G455" i="2"/>
  <c r="I455" i="2" s="1"/>
  <c r="J455" i="2" s="1"/>
  <c r="G456" i="2"/>
  <c r="I456" i="2" s="1"/>
  <c r="K456" i="2" s="1"/>
  <c r="G457" i="2"/>
  <c r="I457" i="2" s="1"/>
  <c r="K457" i="2" s="1"/>
  <c r="G449" i="2"/>
  <c r="I449" i="2" s="1"/>
  <c r="G448" i="2"/>
  <c r="F450" i="2"/>
  <c r="F451" i="2"/>
  <c r="F452" i="2"/>
  <c r="F453" i="2"/>
  <c r="F454" i="2"/>
  <c r="F455" i="2"/>
  <c r="F456" i="2"/>
  <c r="F457" i="2"/>
  <c r="F449" i="2"/>
  <c r="F448" i="2"/>
  <c r="E450" i="2"/>
  <c r="E451" i="2"/>
  <c r="E452" i="2"/>
  <c r="E453" i="2"/>
  <c r="E454" i="2"/>
  <c r="E455" i="2"/>
  <c r="E456" i="2"/>
  <c r="E457" i="2"/>
  <c r="E449" i="2"/>
  <c r="E448" i="2"/>
  <c r="G433" i="2"/>
  <c r="I433" i="2" s="1"/>
  <c r="K433" i="2" s="1"/>
  <c r="G434" i="2"/>
  <c r="I434" i="2" s="1"/>
  <c r="J434" i="2" s="1"/>
  <c r="G435" i="2"/>
  <c r="I435" i="2" s="1"/>
  <c r="K435" i="2" s="1"/>
  <c r="G436" i="2"/>
  <c r="I436" i="2" s="1"/>
  <c r="G437" i="2"/>
  <c r="G438" i="2"/>
  <c r="I438" i="2" s="1"/>
  <c r="G439" i="2"/>
  <c r="I439" i="2" s="1"/>
  <c r="J439" i="2" s="1"/>
  <c r="G440" i="2"/>
  <c r="I440" i="2" s="1"/>
  <c r="J440" i="2" s="1"/>
  <c r="G432" i="2"/>
  <c r="I432" i="2" s="1"/>
  <c r="G431" i="2"/>
  <c r="F433" i="2"/>
  <c r="F434" i="2"/>
  <c r="F435" i="2"/>
  <c r="F436" i="2"/>
  <c r="F437" i="2"/>
  <c r="F438" i="2"/>
  <c r="F439" i="2"/>
  <c r="F440" i="2"/>
  <c r="F432" i="2"/>
  <c r="F431" i="2"/>
  <c r="E433" i="2"/>
  <c r="E434" i="2"/>
  <c r="E435" i="2"/>
  <c r="E436" i="2"/>
  <c r="E437" i="2"/>
  <c r="E438" i="2"/>
  <c r="E439" i="2"/>
  <c r="E440" i="2"/>
  <c r="E432" i="2"/>
  <c r="E431" i="2"/>
  <c r="AO545" i="2"/>
  <c r="AM545" i="2"/>
  <c r="AN545" i="2" s="1"/>
  <c r="AP545" i="2" s="1"/>
  <c r="AS537" i="2"/>
  <c r="AN537" i="2"/>
  <c r="AS535" i="2"/>
  <c r="AN535" i="2"/>
  <c r="AS533" i="2"/>
  <c r="AN533" i="2"/>
  <c r="U451" i="2"/>
  <c r="U452" i="2"/>
  <c r="U453" i="2" s="1"/>
  <c r="U454" i="2" s="1"/>
  <c r="U455" i="2" s="1"/>
  <c r="U456" i="2" s="1"/>
  <c r="U457" i="2" s="1"/>
  <c r="U458" i="2" s="1"/>
  <c r="U459" i="2" s="1"/>
  <c r="B449" i="2"/>
  <c r="B450" i="2"/>
  <c r="B451" i="2" s="1"/>
  <c r="B452" i="2" s="1"/>
  <c r="B453" i="2" s="1"/>
  <c r="B454" i="2" s="1"/>
  <c r="B455" i="2" s="1"/>
  <c r="B456" i="2" s="1"/>
  <c r="B457" i="2" s="1"/>
  <c r="AQ444" i="2"/>
  <c r="AN444" i="2"/>
  <c r="U433" i="2"/>
  <c r="U434" i="2" s="1"/>
  <c r="U435" i="2" s="1"/>
  <c r="U436" i="2" s="1"/>
  <c r="U437" i="2" s="1"/>
  <c r="U438" i="2" s="1"/>
  <c r="U439" i="2" s="1"/>
  <c r="U440" i="2" s="1"/>
  <c r="U441" i="2" s="1"/>
  <c r="B432" i="2"/>
  <c r="B433" i="2"/>
  <c r="B434" i="2" s="1"/>
  <c r="B435" i="2" s="1"/>
  <c r="B436" i="2" s="1"/>
  <c r="B437" i="2" s="1"/>
  <c r="B438" i="2" s="1"/>
  <c r="B439" i="2" s="1"/>
  <c r="B440" i="2" s="1"/>
  <c r="AR545" i="2"/>
  <c r="L62" i="2"/>
  <c r="P51" i="2"/>
  <c r="Q51" i="2"/>
  <c r="R51" i="2"/>
  <c r="S51" i="2"/>
  <c r="P52" i="2"/>
  <c r="Q52" i="2"/>
  <c r="R52" i="2"/>
  <c r="AA52" i="2" s="1"/>
  <c r="S52" i="2"/>
  <c r="AB52" i="2" s="1"/>
  <c r="P53" i="2"/>
  <c r="Q53" i="2"/>
  <c r="R53" i="2"/>
  <c r="S53" i="2"/>
  <c r="AB53" i="2" s="1"/>
  <c r="CO53" i="2"/>
  <c r="CP53" i="2"/>
  <c r="P54" i="2"/>
  <c r="Q54" i="2"/>
  <c r="R54" i="2"/>
  <c r="AA54" i="2" s="1"/>
  <c r="S54" i="2"/>
  <c r="AB54" i="2" s="1"/>
  <c r="CM54" i="2"/>
  <c r="CN54" i="2"/>
  <c r="P55" i="2"/>
  <c r="Q55" i="2"/>
  <c r="R55" i="2"/>
  <c r="AA55" i="2" s="1"/>
  <c r="S55" i="2"/>
  <c r="AB55" i="2" s="1"/>
  <c r="CM55" i="2"/>
  <c r="CN55" i="2"/>
  <c r="CO55" i="2"/>
  <c r="CP55" i="2"/>
  <c r="P56" i="2"/>
  <c r="Q56" i="2"/>
  <c r="R56" i="2"/>
  <c r="S56" i="2"/>
  <c r="AB56" i="2" s="1"/>
  <c r="CM56" i="2"/>
  <c r="CN56" i="2"/>
  <c r="CO56" i="2"/>
  <c r="CP56" i="2"/>
  <c r="P57" i="2"/>
  <c r="Q57" i="2"/>
  <c r="R57" i="2"/>
  <c r="S57" i="2"/>
  <c r="CM57" i="2"/>
  <c r="CN57" i="2"/>
  <c r="CO57" i="2"/>
  <c r="CP57" i="2"/>
  <c r="P58" i="2"/>
  <c r="Q58" i="2"/>
  <c r="R58" i="2"/>
  <c r="S58" i="2"/>
  <c r="CM58" i="2"/>
  <c r="CN58" i="2"/>
  <c r="CO58" i="2"/>
  <c r="CP58" i="2"/>
  <c r="P59" i="2"/>
  <c r="Q59" i="2"/>
  <c r="R59" i="2"/>
  <c r="S59" i="2"/>
  <c r="CM59" i="2"/>
  <c r="CN59" i="2"/>
  <c r="CO59" i="2"/>
  <c r="CP59" i="2"/>
  <c r="P60" i="2"/>
  <c r="Q60" i="2"/>
  <c r="R60" i="2"/>
  <c r="S60" i="2"/>
  <c r="CM60" i="2"/>
  <c r="CN60" i="2"/>
  <c r="CO60" i="2"/>
  <c r="CP60" i="2"/>
  <c r="Z61" i="2"/>
  <c r="CM61" i="2"/>
  <c r="CN61" i="2"/>
  <c r="CO61" i="2"/>
  <c r="CP61" i="2"/>
  <c r="CM62" i="2"/>
  <c r="CN62" i="2"/>
  <c r="CO62" i="2"/>
  <c r="CP62" i="2"/>
  <c r="P63" i="2"/>
  <c r="Q63" i="2"/>
  <c r="R63" i="2"/>
  <c r="S63" i="2"/>
  <c r="AB63" i="2" s="1"/>
  <c r="AR63" i="2"/>
  <c r="CM63" i="2"/>
  <c r="CN63" i="2"/>
  <c r="CO63" i="2"/>
  <c r="CP63" i="2"/>
  <c r="P64" i="2"/>
  <c r="Q64" i="2"/>
  <c r="R64" i="2"/>
  <c r="S64" i="2"/>
  <c r="AB64" i="2" s="1"/>
  <c r="CM64" i="2"/>
  <c r="CN64" i="2"/>
  <c r="CO64" i="2"/>
  <c r="CP64" i="2"/>
  <c r="P65" i="2"/>
  <c r="Q65" i="2"/>
  <c r="R65" i="2"/>
  <c r="AA65" i="2" s="1"/>
  <c r="S65" i="2"/>
  <c r="AB65" i="2" s="1"/>
  <c r="CM65" i="2"/>
  <c r="CN65" i="2"/>
  <c r="CO65" i="2"/>
  <c r="CP65" i="2"/>
  <c r="P66" i="2"/>
  <c r="Q66" i="2"/>
  <c r="R66" i="2"/>
  <c r="S66" i="2"/>
  <c r="AB66" i="2" s="1"/>
  <c r="CM66" i="2"/>
  <c r="CN66" i="2"/>
  <c r="CO66" i="2"/>
  <c r="CP66" i="2"/>
  <c r="P67" i="2"/>
  <c r="Q67" i="2"/>
  <c r="R67" i="2"/>
  <c r="AA67" i="2" s="1"/>
  <c r="S67" i="2"/>
  <c r="AB67" i="2" s="1"/>
  <c r="CM67" i="2"/>
  <c r="CN67" i="2"/>
  <c r="CO67" i="2"/>
  <c r="CP67" i="2"/>
  <c r="P68" i="2"/>
  <c r="Q68" i="2"/>
  <c r="R68" i="2"/>
  <c r="AA68" i="2" s="1"/>
  <c r="S68" i="2"/>
  <c r="AR68" i="2"/>
  <c r="CM68" i="2"/>
  <c r="CN68" i="2"/>
  <c r="CO68" i="2"/>
  <c r="CP68" i="2"/>
  <c r="P69" i="2"/>
  <c r="Q69" i="2"/>
  <c r="R69" i="2"/>
  <c r="S69" i="2"/>
  <c r="CM69" i="2"/>
  <c r="CN69" i="2"/>
  <c r="CO69" i="2"/>
  <c r="CP69" i="2"/>
  <c r="P70" i="2"/>
  <c r="Q70" i="2"/>
  <c r="R70" i="2"/>
  <c r="S70" i="2"/>
  <c r="CM70" i="2"/>
  <c r="CN70" i="2"/>
  <c r="CO70" i="2"/>
  <c r="CP70" i="2"/>
  <c r="P71" i="2"/>
  <c r="Q71" i="2"/>
  <c r="R71" i="2"/>
  <c r="S71" i="2"/>
  <c r="CM71" i="2"/>
  <c r="CN71" i="2"/>
  <c r="CO71" i="2"/>
  <c r="CP71" i="2"/>
  <c r="P72" i="2"/>
  <c r="Q72" i="2"/>
  <c r="R72" i="2"/>
  <c r="S72" i="2"/>
  <c r="CM72" i="2"/>
  <c r="CN72" i="2"/>
  <c r="CO72" i="2"/>
  <c r="CP72" i="2"/>
  <c r="AE76" i="2"/>
  <c r="AR73" i="2"/>
  <c r="AR78" i="2"/>
  <c r="DO78" i="2"/>
  <c r="DP78" i="2"/>
  <c r="DP92" i="2"/>
  <c r="DW78" i="2"/>
  <c r="DX78" i="2"/>
  <c r="DP99" i="2"/>
  <c r="DO79" i="2"/>
  <c r="DP79" i="2"/>
  <c r="DW79" i="2"/>
  <c r="DX79" i="2"/>
  <c r="DP100" i="2"/>
  <c r="DO80" i="2"/>
  <c r="DP80" i="2"/>
  <c r="DR80" i="2"/>
  <c r="DP94" i="2" s="1"/>
  <c r="DW80" i="2"/>
  <c r="DX80" i="2"/>
  <c r="DZ80" i="2"/>
  <c r="DP101" i="2" s="1"/>
  <c r="DO81" i="2"/>
  <c r="DP81" i="2"/>
  <c r="DR81" i="2"/>
  <c r="DP95" i="2" s="1"/>
  <c r="DW81" i="2"/>
  <c r="DX81" i="2"/>
  <c r="DZ81" i="2"/>
  <c r="DP102" i="2" s="1"/>
  <c r="DO82" i="2"/>
  <c r="DP82" i="2"/>
  <c r="DR82" i="2"/>
  <c r="DP96" i="2" s="1"/>
  <c r="DW82" i="2"/>
  <c r="DX82" i="2"/>
  <c r="DZ82" i="2"/>
  <c r="DP103" i="2"/>
  <c r="AR83" i="2"/>
  <c r="Z88" i="2"/>
  <c r="AR88" i="2"/>
  <c r="Z89" i="2"/>
  <c r="AR94" i="2"/>
  <c r="AR99" i="2"/>
  <c r="AB101" i="2"/>
  <c r="AE104" i="2"/>
  <c r="AF104" i="2"/>
  <c r="AG104" i="2"/>
  <c r="AH104" i="2"/>
  <c r="AG110" i="2"/>
  <c r="AR104" i="2"/>
  <c r="X113" i="2"/>
  <c r="X114" i="2" s="1"/>
  <c r="Y113" i="2"/>
  <c r="AH133" i="2"/>
  <c r="AH134" i="2"/>
  <c r="AH135" i="2"/>
  <c r="AH136" i="2"/>
  <c r="AM145" i="2"/>
  <c r="AN145" i="2"/>
  <c r="AR145" i="2" s="1"/>
  <c r="AO145" i="2"/>
  <c r="AS145" i="2" s="1"/>
  <c r="AP145" i="2"/>
  <c r="AM146" i="2"/>
  <c r="AN146" i="2"/>
  <c r="AR146" i="2" s="1"/>
  <c r="AO146" i="2"/>
  <c r="AS146" i="2" s="1"/>
  <c r="AP146" i="2"/>
  <c r="AU146" i="2" s="1"/>
  <c r="AZ146" i="2"/>
  <c r="AZ147" i="2" s="1"/>
  <c r="AZ148" i="2" s="1"/>
  <c r="AZ149" i="2" s="1"/>
  <c r="AZ150" i="2" s="1"/>
  <c r="AZ151" i="2" s="1"/>
  <c r="AZ152" i="2" s="1"/>
  <c r="AZ153" i="2" s="1"/>
  <c r="AZ154" i="2" s="1"/>
  <c r="AM147" i="2"/>
  <c r="AN147" i="2"/>
  <c r="AR147" i="2" s="1"/>
  <c r="AO147" i="2"/>
  <c r="AS147" i="2" s="1"/>
  <c r="AP147" i="2"/>
  <c r="AU147" i="2" s="1"/>
  <c r="AM148" i="2"/>
  <c r="AN148" i="2"/>
  <c r="AR148" i="2" s="1"/>
  <c r="AO148" i="2"/>
  <c r="AS148" i="2"/>
  <c r="AP148" i="2"/>
  <c r="AU148" i="2" s="1"/>
  <c r="AM149" i="2"/>
  <c r="AN149" i="2"/>
  <c r="AR149" i="2" s="1"/>
  <c r="AO149" i="2"/>
  <c r="AS149" i="2" s="1"/>
  <c r="AP149" i="2"/>
  <c r="AU149" i="2" s="1"/>
  <c r="AM150" i="2"/>
  <c r="AN150" i="2"/>
  <c r="AR150" i="2" s="1"/>
  <c r="AO150" i="2"/>
  <c r="AS150" i="2" s="1"/>
  <c r="AP150" i="2"/>
  <c r="AT150" i="2" s="1"/>
  <c r="AM151" i="2"/>
  <c r="AN151" i="2"/>
  <c r="AR151" i="2" s="1"/>
  <c r="AO151" i="2"/>
  <c r="AS151" i="2" s="1"/>
  <c r="AP151" i="2"/>
  <c r="AT151" i="2" s="1"/>
  <c r="AM152" i="2"/>
  <c r="AN152" i="2"/>
  <c r="AR152" i="2" s="1"/>
  <c r="AO152" i="2"/>
  <c r="AS152" i="2" s="1"/>
  <c r="AP152" i="2"/>
  <c r="AT152" i="2" s="1"/>
  <c r="AM153" i="2"/>
  <c r="AN153" i="2"/>
  <c r="AR153" i="2" s="1"/>
  <c r="AO153" i="2"/>
  <c r="AS153" i="2" s="1"/>
  <c r="AP153" i="2"/>
  <c r="AT153" i="2" s="1"/>
  <c r="AM154" i="2"/>
  <c r="AN154" i="2"/>
  <c r="AR154" i="2" s="1"/>
  <c r="AO154" i="2"/>
  <c r="AS154" i="2" s="1"/>
  <c r="AP154" i="2"/>
  <c r="AU154" i="2" s="1"/>
  <c r="AM166" i="2"/>
  <c r="AN166" i="2"/>
  <c r="AR166" i="2" s="1"/>
  <c r="AO166" i="2"/>
  <c r="AS166" i="2" s="1"/>
  <c r="AP166" i="2"/>
  <c r="AM167" i="2"/>
  <c r="AN167" i="2"/>
  <c r="AR167" i="2" s="1"/>
  <c r="AO167" i="2"/>
  <c r="AS167" i="2" s="1"/>
  <c r="AP167" i="2"/>
  <c r="AT167" i="2" s="1"/>
  <c r="AZ167" i="2"/>
  <c r="AZ168" i="2"/>
  <c r="AZ169" i="2"/>
  <c r="AZ170" i="2"/>
  <c r="AZ171" i="2" s="1"/>
  <c r="AZ172" i="2" s="1"/>
  <c r="AZ173" i="2" s="1"/>
  <c r="AZ174" i="2" s="1"/>
  <c r="AZ175" i="2" s="1"/>
  <c r="AM168" i="2"/>
  <c r="AN168" i="2"/>
  <c r="AR168" i="2" s="1"/>
  <c r="AO168" i="2"/>
  <c r="AS168" i="2" s="1"/>
  <c r="AP168" i="2"/>
  <c r="AT168" i="2" s="1"/>
  <c r="AM169" i="2"/>
  <c r="AN169" i="2"/>
  <c r="AR169" i="2" s="1"/>
  <c r="AO169" i="2"/>
  <c r="AS169" i="2" s="1"/>
  <c r="AP169" i="2"/>
  <c r="AT169" i="2" s="1"/>
  <c r="AM170" i="2"/>
  <c r="AN170" i="2"/>
  <c r="AR170" i="2" s="1"/>
  <c r="AO170" i="2"/>
  <c r="AS170" i="2" s="1"/>
  <c r="AP170" i="2"/>
  <c r="AT170" i="2" s="1"/>
  <c r="AM171" i="2"/>
  <c r="AN171" i="2"/>
  <c r="AR171" i="2" s="1"/>
  <c r="AO171" i="2"/>
  <c r="AS171" i="2" s="1"/>
  <c r="AP171" i="2"/>
  <c r="AT171" i="2" s="1"/>
  <c r="AM172" i="2"/>
  <c r="AN172" i="2"/>
  <c r="AR172" i="2" s="1"/>
  <c r="AO172" i="2"/>
  <c r="AS172" i="2" s="1"/>
  <c r="AP172" i="2"/>
  <c r="AU172" i="2" s="1"/>
  <c r="AM173" i="2"/>
  <c r="AN173" i="2"/>
  <c r="AR173" i="2" s="1"/>
  <c r="AO173" i="2"/>
  <c r="AS173" i="2" s="1"/>
  <c r="AP173" i="2"/>
  <c r="AT173" i="2" s="1"/>
  <c r="AM174" i="2"/>
  <c r="AN174" i="2"/>
  <c r="AR174" i="2" s="1"/>
  <c r="AO174" i="2"/>
  <c r="AS174" i="2" s="1"/>
  <c r="AP174" i="2"/>
  <c r="AT174" i="2" s="1"/>
  <c r="AM175" i="2"/>
  <c r="AN175" i="2"/>
  <c r="AR175" i="2" s="1"/>
  <c r="AO175" i="2"/>
  <c r="AS175" i="2" s="1"/>
  <c r="AP175" i="2"/>
  <c r="AT175" i="2" s="1"/>
  <c r="K1" i="1"/>
  <c r="Q8" i="1"/>
  <c r="N8" i="1"/>
  <c r="N93" i="2"/>
  <c r="N95" i="2" s="1"/>
  <c r="M88" i="2"/>
  <c r="N88" i="2" s="1"/>
  <c r="AG89" i="2"/>
  <c r="AF91" i="2"/>
  <c r="AE89" i="2"/>
  <c r="AE91" i="2"/>
  <c r="AH89" i="2"/>
  <c r="AF89" i="2"/>
  <c r="AC78" i="2"/>
  <c r="AD78" i="2" s="1"/>
  <c r="AD77" i="2"/>
  <c r="AE77" i="2"/>
  <c r="B430" i="2" l="1"/>
  <c r="W433" i="2" s="1"/>
  <c r="B447" i="2"/>
  <c r="W451" i="2" s="1"/>
  <c r="T65" i="2"/>
  <c r="DX75" i="2"/>
  <c r="DS102" i="2" s="1"/>
  <c r="DV102" i="2" s="1"/>
  <c r="T66" i="2"/>
  <c r="U66" i="2" s="1"/>
  <c r="AO144" i="2"/>
  <c r="AV148" i="2" s="1"/>
  <c r="T60" i="2"/>
  <c r="DQ75" i="2"/>
  <c r="DP66" i="2" s="1"/>
  <c r="CW53" i="2" s="1"/>
  <c r="AU151" i="2"/>
  <c r="Z51" i="2"/>
  <c r="AG68" i="2"/>
  <c r="N60" i="2"/>
  <c r="N56" i="2"/>
  <c r="Z64" i="2"/>
  <c r="K440" i="2"/>
  <c r="AU152" i="2"/>
  <c r="N57" i="2"/>
  <c r="Z53" i="2"/>
  <c r="Z72" i="2"/>
  <c r="I454" i="2"/>
  <c r="K454" i="2" s="1"/>
  <c r="Z69" i="2"/>
  <c r="DR102" i="2"/>
  <c r="Z66" i="2"/>
  <c r="DR100" i="2"/>
  <c r="AG63" i="2"/>
  <c r="AG55" i="2"/>
  <c r="DR96" i="2"/>
  <c r="N55" i="2"/>
  <c r="DR94" i="2"/>
  <c r="DQ93" i="2"/>
  <c r="Z71" i="2"/>
  <c r="AU173" i="2"/>
  <c r="Z67" i="2"/>
  <c r="AG67" i="2"/>
  <c r="AA66" i="2"/>
  <c r="AC66" i="2" s="1"/>
  <c r="AG66" i="2"/>
  <c r="AU169" i="2"/>
  <c r="Z65" i="2"/>
  <c r="AA64" i="2"/>
  <c r="AC64" i="2" s="1"/>
  <c r="AG64" i="2"/>
  <c r="N63" i="2"/>
  <c r="AA63" i="2"/>
  <c r="AC63" i="2" s="1"/>
  <c r="N62" i="2"/>
  <c r="AT154" i="2"/>
  <c r="Z58" i="2"/>
  <c r="AA56" i="2"/>
  <c r="AC56" i="2" s="1"/>
  <c r="Z56" i="2"/>
  <c r="AC54" i="2"/>
  <c r="DQ95" i="2"/>
  <c r="AA53" i="2"/>
  <c r="AC53" i="2" s="1"/>
  <c r="AG53" i="2"/>
  <c r="AT147" i="2"/>
  <c r="N52" i="2"/>
  <c r="Z52" i="2"/>
  <c r="AT146" i="2"/>
  <c r="AA51" i="2"/>
  <c r="AG51" i="2"/>
  <c r="U60" i="2"/>
  <c r="W60" i="2"/>
  <c r="AO165" i="2"/>
  <c r="AV171" i="2" s="1"/>
  <c r="AY171" i="2" s="1"/>
  <c r="K432" i="2"/>
  <c r="J432" i="2"/>
  <c r="W65" i="2"/>
  <c r="V65" i="2"/>
  <c r="DP67" i="2"/>
  <c r="DS100" i="2"/>
  <c r="T56" i="2"/>
  <c r="T59" i="2"/>
  <c r="W59" i="2" s="1"/>
  <c r="T64" i="2"/>
  <c r="AG56" i="2"/>
  <c r="N65" i="2"/>
  <c r="DR103" i="2"/>
  <c r="T55" i="2"/>
  <c r="W55" i="2" s="1"/>
  <c r="Z70" i="2"/>
  <c r="N58" i="2"/>
  <c r="T54" i="2"/>
  <c r="U54" i="2" s="1"/>
  <c r="AB68" i="2"/>
  <c r="AC68" i="2" s="1"/>
  <c r="T52" i="2"/>
  <c r="U52" i="2" s="1"/>
  <c r="AT172" i="2"/>
  <c r="T51" i="2"/>
  <c r="V51" i="2" s="1"/>
  <c r="N54" i="2"/>
  <c r="W66" i="2"/>
  <c r="AG99" i="2" s="1"/>
  <c r="T53" i="2"/>
  <c r="W53" i="2" s="1"/>
  <c r="T72" i="2"/>
  <c r="Z60" i="2"/>
  <c r="T63" i="2"/>
  <c r="T70" i="2"/>
  <c r="Z63" i="2"/>
  <c r="AU168" i="2"/>
  <c r="T67" i="2"/>
  <c r="W67" i="2" s="1"/>
  <c r="AU170" i="2"/>
  <c r="Z59" i="2"/>
  <c r="K439" i="2"/>
  <c r="S439" i="2" s="1"/>
  <c r="Q439" i="2" s="1"/>
  <c r="N68" i="2"/>
  <c r="AC52" i="2"/>
  <c r="T71" i="2"/>
  <c r="AC67" i="2"/>
  <c r="J457" i="2"/>
  <c r="S457" i="2" s="1"/>
  <c r="Q457" i="2" s="1"/>
  <c r="DQ101" i="2"/>
  <c r="AG54" i="2"/>
  <c r="T58" i="2"/>
  <c r="U58" i="2" s="1"/>
  <c r="T69" i="2"/>
  <c r="W69" i="2" s="1"/>
  <c r="Z68" i="2"/>
  <c r="AT149" i="2"/>
  <c r="T57" i="2"/>
  <c r="W57" i="2" s="1"/>
  <c r="T68" i="2"/>
  <c r="AC65" i="2"/>
  <c r="AD65" i="2" s="1"/>
  <c r="N51" i="2"/>
  <c r="N96" i="2"/>
  <c r="N64" i="2"/>
  <c r="N70" i="2"/>
  <c r="N71" i="2"/>
  <c r="N67" i="2"/>
  <c r="AE78" i="2"/>
  <c r="AU175" i="2"/>
  <c r="AU174" i="2"/>
  <c r="J456" i="2"/>
  <c r="N69" i="2"/>
  <c r="K455" i="2"/>
  <c r="S455" i="2" s="1"/>
  <c r="Q455" i="2" s="1"/>
  <c r="J453" i="2"/>
  <c r="K453" i="2"/>
  <c r="AU171" i="2"/>
  <c r="N66" i="2"/>
  <c r="J452" i="2"/>
  <c r="K451" i="2"/>
  <c r="U65" i="2"/>
  <c r="AG65" i="2"/>
  <c r="J450" i="2"/>
  <c r="J449" i="2"/>
  <c r="K449" i="2"/>
  <c r="AU167" i="2"/>
  <c r="I448" i="2"/>
  <c r="K448" i="2" s="1"/>
  <c r="AU166" i="2"/>
  <c r="AT166" i="2"/>
  <c r="DQ99" i="2"/>
  <c r="V60" i="2"/>
  <c r="N59" i="2"/>
  <c r="AU153" i="2"/>
  <c r="J438" i="2"/>
  <c r="K438" i="2"/>
  <c r="J436" i="2"/>
  <c r="K436" i="2"/>
  <c r="AU150" i="2"/>
  <c r="AC55" i="2"/>
  <c r="Z55" i="2"/>
  <c r="J435" i="2"/>
  <c r="Z54" i="2"/>
  <c r="AT148" i="2"/>
  <c r="K434" i="2"/>
  <c r="N53" i="2"/>
  <c r="J433" i="2"/>
  <c r="AG52" i="2"/>
  <c r="DQ92" i="2"/>
  <c r="DR92" i="2"/>
  <c r="AT145" i="2"/>
  <c r="AU145" i="2"/>
  <c r="AB51" i="2"/>
  <c r="I431" i="2"/>
  <c r="K431" i="2" s="1"/>
  <c r="I437" i="2"/>
  <c r="K437" i="2" s="1"/>
  <c r="Z57" i="2"/>
  <c r="DS99" i="2" l="1"/>
  <c r="DU99" i="2" s="1"/>
  <c r="DS103" i="2"/>
  <c r="DV103" i="2" s="1"/>
  <c r="U51" i="2"/>
  <c r="M440" i="2"/>
  <c r="D3" i="8" s="1"/>
  <c r="V436" i="2"/>
  <c r="V441" i="2"/>
  <c r="W438" i="2"/>
  <c r="V434" i="2"/>
  <c r="W435" i="2"/>
  <c r="W437" i="2"/>
  <c r="U55" i="2"/>
  <c r="W51" i="2"/>
  <c r="AF96" i="2" s="1"/>
  <c r="V55" i="2"/>
  <c r="AE100" i="2" s="1"/>
  <c r="AD55" i="2"/>
  <c r="W440" i="2"/>
  <c r="AP446" i="2"/>
  <c r="V437" i="2"/>
  <c r="V438" i="2"/>
  <c r="W436" i="2"/>
  <c r="V439" i="2"/>
  <c r="W439" i="2"/>
  <c r="V440" i="2"/>
  <c r="AD68" i="2"/>
  <c r="V435" i="2"/>
  <c r="AD67" i="2"/>
  <c r="U57" i="2"/>
  <c r="Y57" i="2" s="1"/>
  <c r="V433" i="2"/>
  <c r="X433" i="2" s="1"/>
  <c r="Y433" i="2" s="1"/>
  <c r="Z433" i="2" s="1"/>
  <c r="AB433" i="2" s="1"/>
  <c r="W441" i="2"/>
  <c r="X441" i="2" s="1"/>
  <c r="U431" i="2"/>
  <c r="U67" i="2"/>
  <c r="W94" i="2" s="1"/>
  <c r="Z94" i="2" s="1"/>
  <c r="M434" i="2"/>
  <c r="D9" i="8" s="1"/>
  <c r="V67" i="2"/>
  <c r="AH100" i="2" s="1"/>
  <c r="V432" i="2"/>
  <c r="W432" i="2"/>
  <c r="W434" i="2"/>
  <c r="AD66" i="2"/>
  <c r="V451" i="2"/>
  <c r="X451" i="2" s="1"/>
  <c r="Y451" i="2" s="1"/>
  <c r="AA451" i="2" s="1"/>
  <c r="AC451" i="2" s="1"/>
  <c r="AH52" i="2"/>
  <c r="DU102" i="2"/>
  <c r="AV149" i="2"/>
  <c r="AY149" i="2" s="1"/>
  <c r="V458" i="2"/>
  <c r="W455" i="2"/>
  <c r="V453" i="2"/>
  <c r="AX171" i="2"/>
  <c r="CG171" i="2" s="1"/>
  <c r="V454" i="2"/>
  <c r="V455" i="2"/>
  <c r="W450" i="2"/>
  <c r="X450" i="2" s="1"/>
  <c r="Y450" i="2" s="1"/>
  <c r="Z450" i="2" s="1"/>
  <c r="AB450" i="2" s="1"/>
  <c r="V457" i="2"/>
  <c r="W457" i="2"/>
  <c r="V459" i="2"/>
  <c r="V452" i="2"/>
  <c r="W456" i="2"/>
  <c r="W452" i="2"/>
  <c r="W454" i="2"/>
  <c r="U449" i="2"/>
  <c r="V456" i="2"/>
  <c r="W458" i="2"/>
  <c r="DS101" i="2"/>
  <c r="DU101" i="2" s="1"/>
  <c r="W453" i="2"/>
  <c r="X453" i="2" s="1"/>
  <c r="Y453" i="2" s="1"/>
  <c r="Z453" i="2" s="1"/>
  <c r="AB453" i="2" s="1"/>
  <c r="V450" i="2"/>
  <c r="W459" i="2"/>
  <c r="V57" i="2"/>
  <c r="L451" i="2"/>
  <c r="G9" i="8" s="1"/>
  <c r="AV145" i="2"/>
  <c r="BR145" i="2" s="1"/>
  <c r="DS95" i="2"/>
  <c r="DT95" i="2" s="1"/>
  <c r="BR53" i="2"/>
  <c r="AV154" i="2"/>
  <c r="AW154" i="2" s="1"/>
  <c r="CF154" i="2" s="1"/>
  <c r="AP52" i="2"/>
  <c r="BJ51" i="2" s="1"/>
  <c r="AD53" i="2"/>
  <c r="DS93" i="2"/>
  <c r="DV93" i="2" s="1"/>
  <c r="AV152" i="2"/>
  <c r="AX152" i="2" s="1"/>
  <c r="AD54" i="2"/>
  <c r="AV153" i="2"/>
  <c r="AX153" i="2" s="1"/>
  <c r="DS94" i="2"/>
  <c r="DU94" i="2" s="1"/>
  <c r="AV147" i="2"/>
  <c r="AY147" i="2" s="1"/>
  <c r="AD56" i="2"/>
  <c r="AV150" i="2"/>
  <c r="AX150" i="2" s="1"/>
  <c r="DU103" i="2"/>
  <c r="DS96" i="2"/>
  <c r="DU96" i="2" s="1"/>
  <c r="AV146" i="2"/>
  <c r="AW146" i="2" s="1"/>
  <c r="CF146" i="2" s="1"/>
  <c r="AV151" i="2"/>
  <c r="AW151" i="2" s="1"/>
  <c r="V66" i="2"/>
  <c r="AH99" i="2" s="1"/>
  <c r="AD63" i="2"/>
  <c r="AD52" i="2"/>
  <c r="DS92" i="2"/>
  <c r="DV92" i="2" s="1"/>
  <c r="DT102" i="2"/>
  <c r="DW102" i="2" s="1"/>
  <c r="L440" i="2"/>
  <c r="R440" i="2" s="1"/>
  <c r="S440" i="2"/>
  <c r="Q440" i="2" s="1"/>
  <c r="S432" i="2"/>
  <c r="Q432" i="2" s="1"/>
  <c r="AF66" i="2"/>
  <c r="J448" i="2"/>
  <c r="L448" i="2" s="1"/>
  <c r="L432" i="2"/>
  <c r="M457" i="2"/>
  <c r="H3" i="8" s="1"/>
  <c r="L457" i="2"/>
  <c r="G3" i="8" s="1"/>
  <c r="J454" i="2"/>
  <c r="DT103" i="2"/>
  <c r="DW103" i="2" s="1"/>
  <c r="AG69" i="2"/>
  <c r="AH64" i="2"/>
  <c r="AC51" i="2"/>
  <c r="AD51" i="2" s="1"/>
  <c r="L455" i="2"/>
  <c r="G5" i="8" s="1"/>
  <c r="M455" i="2"/>
  <c r="H5" i="8" s="1"/>
  <c r="M451" i="2"/>
  <c r="H9" i="8" s="1"/>
  <c r="AC69" i="2"/>
  <c r="L439" i="2"/>
  <c r="C4" i="8" s="1"/>
  <c r="M439" i="2"/>
  <c r="D4" i="8" s="1"/>
  <c r="AG57" i="2"/>
  <c r="AF51" i="2"/>
  <c r="M60" i="2"/>
  <c r="H92" i="2" s="1"/>
  <c r="AE96" i="2"/>
  <c r="AE51" i="2"/>
  <c r="X66" i="2"/>
  <c r="W93" i="2"/>
  <c r="Z93" i="2" s="1"/>
  <c r="Y66" i="2"/>
  <c r="AF55" i="2"/>
  <c r="AF100" i="2"/>
  <c r="U70" i="2"/>
  <c r="W70" i="2"/>
  <c r="V70" i="2"/>
  <c r="DU100" i="2"/>
  <c r="DV100" i="2"/>
  <c r="M432" i="2"/>
  <c r="D11" i="8" s="1"/>
  <c r="V71" i="2"/>
  <c r="W71" i="2"/>
  <c r="W63" i="2"/>
  <c r="V63" i="2"/>
  <c r="U63" i="2"/>
  <c r="AP53" i="2"/>
  <c r="BR54" i="2"/>
  <c r="CW54" i="2"/>
  <c r="V76" i="2"/>
  <c r="AH98" i="2"/>
  <c r="AE65" i="2"/>
  <c r="U72" i="2"/>
  <c r="W72" i="2"/>
  <c r="V72" i="2"/>
  <c r="AF65" i="2"/>
  <c r="AG98" i="2"/>
  <c r="AV169" i="2"/>
  <c r="AV167" i="2"/>
  <c r="AX167" i="2" s="1"/>
  <c r="AW153" i="2"/>
  <c r="CF153" i="2" s="1"/>
  <c r="AY148" i="2"/>
  <c r="W52" i="2"/>
  <c r="V52" i="2"/>
  <c r="AV166" i="2"/>
  <c r="AX166" i="2" s="1"/>
  <c r="BD166" i="2" s="1"/>
  <c r="W64" i="2"/>
  <c r="U64" i="2"/>
  <c r="V64" i="2"/>
  <c r="AV174" i="2"/>
  <c r="AW174" i="2" s="1"/>
  <c r="CF174" i="2" s="1"/>
  <c r="V69" i="2"/>
  <c r="U69" i="2"/>
  <c r="W54" i="2"/>
  <c r="V54" i="2"/>
  <c r="V59" i="2"/>
  <c r="U59" i="2"/>
  <c r="S434" i="2"/>
  <c r="Q434" i="2" s="1"/>
  <c r="M71" i="2"/>
  <c r="I92" i="2" s="1"/>
  <c r="L434" i="2"/>
  <c r="C9" i="8" s="1"/>
  <c r="AD64" i="2"/>
  <c r="DT100" i="2"/>
  <c r="V56" i="2"/>
  <c r="AE56" i="2" s="1"/>
  <c r="U56" i="2"/>
  <c r="W56" i="2"/>
  <c r="AF56" i="2" s="1"/>
  <c r="V58" i="2"/>
  <c r="W58" i="2"/>
  <c r="V53" i="2"/>
  <c r="U53" i="2"/>
  <c r="U71" i="2"/>
  <c r="AY154" i="2"/>
  <c r="AX154" i="2"/>
  <c r="AV168" i="2"/>
  <c r="X60" i="2"/>
  <c r="Y60" i="2"/>
  <c r="AV175" i="2"/>
  <c r="AV173" i="2"/>
  <c r="V68" i="2"/>
  <c r="AE68" i="2" s="1"/>
  <c r="U68" i="2"/>
  <c r="W68" i="2"/>
  <c r="AF68" i="2" s="1"/>
  <c r="AG100" i="2"/>
  <c r="AF67" i="2"/>
  <c r="AV172" i="2"/>
  <c r="AW172" i="2" s="1"/>
  <c r="CF172" i="2" s="1"/>
  <c r="AV170" i="2"/>
  <c r="S456" i="2"/>
  <c r="Q456" i="2" s="1"/>
  <c r="M456" i="2"/>
  <c r="H4" i="8" s="1"/>
  <c r="L456" i="2"/>
  <c r="L453" i="2"/>
  <c r="M453" i="2"/>
  <c r="H7" i="8" s="1"/>
  <c r="S453" i="2"/>
  <c r="Q453" i="2" s="1"/>
  <c r="AW171" i="2"/>
  <c r="CF171" i="2" s="1"/>
  <c r="M452" i="2"/>
  <c r="H8" i="8" s="1"/>
  <c r="L452" i="2"/>
  <c r="S452" i="2"/>
  <c r="Q452" i="2" s="1"/>
  <c r="S451" i="2"/>
  <c r="Q451" i="2" s="1"/>
  <c r="M450" i="2"/>
  <c r="H10" i="8" s="1"/>
  <c r="L450" i="2"/>
  <c r="S450" i="2"/>
  <c r="Q450" i="2" s="1"/>
  <c r="Y65" i="2"/>
  <c r="W92" i="2"/>
  <c r="Z92" i="2" s="1"/>
  <c r="X65" i="2"/>
  <c r="S449" i="2"/>
  <c r="Q449" i="2" s="1"/>
  <c r="L449" i="2"/>
  <c r="M449" i="2"/>
  <c r="H11" i="8" s="1"/>
  <c r="DV99" i="2"/>
  <c r="DT99" i="2"/>
  <c r="X58" i="2"/>
  <c r="Y58" i="2"/>
  <c r="S438" i="2"/>
  <c r="Q438" i="2" s="1"/>
  <c r="L438" i="2"/>
  <c r="M438" i="2"/>
  <c r="D5" i="8" s="1"/>
  <c r="S436" i="2"/>
  <c r="Q436" i="2" s="1"/>
  <c r="M436" i="2"/>
  <c r="D7" i="8" s="1"/>
  <c r="L436" i="2"/>
  <c r="M435" i="2"/>
  <c r="D8" i="8" s="1"/>
  <c r="L435" i="2"/>
  <c r="S435" i="2"/>
  <c r="Q435" i="2" s="1"/>
  <c r="X55" i="2"/>
  <c r="Y55" i="2"/>
  <c r="W87" i="2"/>
  <c r="Z87" i="2" s="1"/>
  <c r="AW148" i="2"/>
  <c r="CF148" i="2" s="1"/>
  <c r="AX148" i="2"/>
  <c r="Y54" i="2"/>
  <c r="X54" i="2"/>
  <c r="W86" i="2"/>
  <c r="Z86" i="2" s="1"/>
  <c r="M433" i="2"/>
  <c r="D10" i="8" s="1"/>
  <c r="L433" i="2"/>
  <c r="S433" i="2"/>
  <c r="Q433" i="2" s="1"/>
  <c r="AF53" i="2"/>
  <c r="AF98" i="2"/>
  <c r="X52" i="2"/>
  <c r="W84" i="2"/>
  <c r="Z84" i="2" s="1"/>
  <c r="Y52" i="2"/>
  <c r="J431" i="2"/>
  <c r="X51" i="2"/>
  <c r="W83" i="2"/>
  <c r="Z83" i="2" s="1"/>
  <c r="Y51" i="2"/>
  <c r="DU92" i="2"/>
  <c r="DT92" i="2"/>
  <c r="J437" i="2"/>
  <c r="X437" i="2" l="1"/>
  <c r="Y437" i="2" s="1"/>
  <c r="AA437" i="2" s="1"/>
  <c r="AC437" i="2" s="1"/>
  <c r="X439" i="2"/>
  <c r="Y439" i="2" s="1"/>
  <c r="AA439" i="2" s="1"/>
  <c r="AC439" i="2" s="1"/>
  <c r="X459" i="2"/>
  <c r="X438" i="2"/>
  <c r="Y438" i="2" s="1"/>
  <c r="AA438" i="2" s="1"/>
  <c r="AC438" i="2" s="1"/>
  <c r="AE55" i="2"/>
  <c r="X435" i="2"/>
  <c r="Y435" i="2" s="1"/>
  <c r="AA435" i="2" s="1"/>
  <c r="AC435" i="2" s="1"/>
  <c r="AX174" i="2"/>
  <c r="AX149" i="2"/>
  <c r="X434" i="2"/>
  <c r="Y434" i="2" s="1"/>
  <c r="AA434" i="2" s="1"/>
  <c r="AC434" i="2" s="1"/>
  <c r="X436" i="2"/>
  <c r="Y436" i="2" s="1"/>
  <c r="AA436" i="2" s="1"/>
  <c r="AC436" i="2" s="1"/>
  <c r="X432" i="2"/>
  <c r="Y432" i="2" s="1"/>
  <c r="Z432" i="2" s="1"/>
  <c r="AB432" i="2" s="1"/>
  <c r="AW145" i="2"/>
  <c r="BJ145" i="2" s="1"/>
  <c r="BJ146" i="2" s="1"/>
  <c r="AE67" i="2"/>
  <c r="X440" i="2"/>
  <c r="Y440" i="2" s="1"/>
  <c r="AA440" i="2" s="1"/>
  <c r="AC440" i="2" s="1"/>
  <c r="AX145" i="2"/>
  <c r="BU145" i="2" s="1"/>
  <c r="DV96" i="2"/>
  <c r="DU93" i="2"/>
  <c r="DT96" i="2"/>
  <c r="DY96" i="2" s="1"/>
  <c r="AY166" i="2"/>
  <c r="BE166" i="2" s="1"/>
  <c r="BY145" i="2"/>
  <c r="BY146" i="2" s="1"/>
  <c r="BY147" i="2" s="1"/>
  <c r="BY148" i="2" s="1"/>
  <c r="BY149" i="2" s="1"/>
  <c r="BY150" i="2" s="1"/>
  <c r="BY151" i="2" s="1"/>
  <c r="BY152" i="2" s="1"/>
  <c r="BY153" i="2" s="1"/>
  <c r="BY154" i="2" s="1"/>
  <c r="AW166" i="2"/>
  <c r="BQ166" i="2" s="1"/>
  <c r="CB145" i="2"/>
  <c r="X454" i="2"/>
  <c r="Y454" i="2" s="1"/>
  <c r="Z454" i="2" s="1"/>
  <c r="AB454" i="2" s="1"/>
  <c r="BO145" i="2"/>
  <c r="AP55" i="2"/>
  <c r="AX151" i="2"/>
  <c r="CF151" i="2"/>
  <c r="X456" i="2"/>
  <c r="Y456" i="2" s="1"/>
  <c r="AA456" i="2" s="1"/>
  <c r="AC456" i="2" s="1"/>
  <c r="Y441" i="2"/>
  <c r="Z441" i="2" s="1"/>
  <c r="AB441" i="2" s="1"/>
  <c r="AA441" i="2"/>
  <c r="AC441" i="2" s="1"/>
  <c r="AE441" i="2" s="1"/>
  <c r="DT101" i="2"/>
  <c r="DY101" i="2" s="1"/>
  <c r="X452" i="2"/>
  <c r="Y452" i="2" s="1"/>
  <c r="AW147" i="2"/>
  <c r="CF147" i="2" s="1"/>
  <c r="BR146" i="2"/>
  <c r="BR147" i="2" s="1"/>
  <c r="BR148" i="2" s="1"/>
  <c r="BR149" i="2" s="1"/>
  <c r="Y67" i="2"/>
  <c r="AY152" i="2"/>
  <c r="CG152" i="2" s="1"/>
  <c r="X457" i="2"/>
  <c r="Y457" i="2" s="1"/>
  <c r="AA457" i="2" s="1"/>
  <c r="AC457" i="2" s="1"/>
  <c r="X67" i="2"/>
  <c r="AA454" i="2"/>
  <c r="AC454" i="2" s="1"/>
  <c r="AD454" i="2" s="1"/>
  <c r="AX146" i="2"/>
  <c r="CG149" i="2"/>
  <c r="AW152" i="2"/>
  <c r="CF152" i="2" s="1"/>
  <c r="X57" i="2"/>
  <c r="DT93" i="2"/>
  <c r="DY93" i="2" s="1"/>
  <c r="DV101" i="2"/>
  <c r="DV104" i="2" s="1"/>
  <c r="DS67" i="2" s="1"/>
  <c r="CJ54" i="2" s="1"/>
  <c r="CP54" i="2" s="1"/>
  <c r="AR53" i="2" s="1"/>
  <c r="DI53" i="2" s="1"/>
  <c r="X455" i="2"/>
  <c r="Y455" i="2" s="1"/>
  <c r="Z455" i="2" s="1"/>
  <c r="AB455" i="2" s="1"/>
  <c r="DW95" i="2"/>
  <c r="DX95" i="2"/>
  <c r="AW167" i="2"/>
  <c r="CF167" i="2" s="1"/>
  <c r="DY102" i="2"/>
  <c r="DX102" i="2"/>
  <c r="DV95" i="2"/>
  <c r="BQ145" i="2"/>
  <c r="BQ146" i="2" s="1"/>
  <c r="BQ147" i="2" s="1"/>
  <c r="BQ148" i="2" s="1"/>
  <c r="BQ149" i="2" s="1"/>
  <c r="BQ150" i="2" s="1"/>
  <c r="BQ151" i="2" s="1"/>
  <c r="BQ152" i="2" s="1"/>
  <c r="BQ153" i="2" s="1"/>
  <c r="BQ154" i="2" s="1"/>
  <c r="DT94" i="2"/>
  <c r="DW94" i="2" s="1"/>
  <c r="DU95" i="2"/>
  <c r="BZ145" i="2"/>
  <c r="BZ146" i="2" s="1"/>
  <c r="BZ147" i="2" s="1"/>
  <c r="BZ148" i="2" s="1"/>
  <c r="BZ149" i="2" s="1"/>
  <c r="BZ150" i="2" s="1"/>
  <c r="BZ151" i="2" s="1"/>
  <c r="BZ152" i="2" s="1"/>
  <c r="BZ153" i="2" s="1"/>
  <c r="BZ154" i="2" s="1"/>
  <c r="BP145" i="2"/>
  <c r="BP146" i="2" s="1"/>
  <c r="BP147" i="2" s="1"/>
  <c r="BP148" i="2" s="1"/>
  <c r="BN145" i="2"/>
  <c r="BN146" i="2" s="1"/>
  <c r="BN147" i="2" s="1"/>
  <c r="BN148" i="2" s="1"/>
  <c r="BN149" i="2" s="1"/>
  <c r="BN150" i="2" s="1"/>
  <c r="BN151" i="2" s="1"/>
  <c r="BN152" i="2" s="1"/>
  <c r="BN153" i="2" s="1"/>
  <c r="BN154" i="2" s="1"/>
  <c r="X458" i="2"/>
  <c r="Y458" i="2" s="1"/>
  <c r="AA458" i="2" s="1"/>
  <c r="AC458" i="2" s="1"/>
  <c r="BS145" i="2"/>
  <c r="BS146" i="2" s="1"/>
  <c r="BS147" i="2" s="1"/>
  <c r="BS148" i="2" s="1"/>
  <c r="BS149" i="2" s="1"/>
  <c r="BS150" i="2" s="1"/>
  <c r="BS151" i="2" s="1"/>
  <c r="BS152" i="2" s="1"/>
  <c r="BS153" i="2" s="1"/>
  <c r="BS154" i="2" s="1"/>
  <c r="CA145" i="2"/>
  <c r="CA146" i="2" s="1"/>
  <c r="CA147" i="2" s="1"/>
  <c r="CA148" i="2" s="1"/>
  <c r="CA149" i="2" s="1"/>
  <c r="CA150" i="2" s="1"/>
  <c r="CA151" i="2" s="1"/>
  <c r="CA152" i="2" s="1"/>
  <c r="CA153" i="2" s="1"/>
  <c r="CA154" i="2" s="1"/>
  <c r="AY145" i="2"/>
  <c r="BE145" i="2" s="1"/>
  <c r="CD145" i="2" s="1"/>
  <c r="BG145" i="2"/>
  <c r="BG146" i="2" s="1"/>
  <c r="BG147" i="2" s="1"/>
  <c r="BG148" i="2" s="1"/>
  <c r="BG149" i="2" s="1"/>
  <c r="BG150" i="2" s="1"/>
  <c r="BG151" i="2" s="1"/>
  <c r="BG152" i="2" s="1"/>
  <c r="BG153" i="2" s="1"/>
  <c r="BG154" i="2" s="1"/>
  <c r="AY146" i="2"/>
  <c r="AW149" i="2"/>
  <c r="CF149" i="2" s="1"/>
  <c r="BR150" i="2"/>
  <c r="BR151" i="2" s="1"/>
  <c r="BR152" i="2" s="1"/>
  <c r="BR153" i="2" s="1"/>
  <c r="BR154" i="2" s="1"/>
  <c r="AW150" i="2"/>
  <c r="CF150" i="2" s="1"/>
  <c r="AE66" i="2"/>
  <c r="AD69" i="2"/>
  <c r="AD57" i="2"/>
  <c r="CB146" i="2"/>
  <c r="CB147" i="2" s="1"/>
  <c r="CB148" i="2" s="1"/>
  <c r="CB149" i="2" s="1"/>
  <c r="CB150" i="2" s="1"/>
  <c r="CB151" i="2" s="1"/>
  <c r="CB152" i="2" s="1"/>
  <c r="CB153" i="2" s="1"/>
  <c r="CB154" i="2" s="1"/>
  <c r="AX147" i="2"/>
  <c r="CG147" i="2" s="1"/>
  <c r="AQ431" i="2"/>
  <c r="AY151" i="2"/>
  <c r="N451" i="2"/>
  <c r="P451" i="2" s="1"/>
  <c r="DY95" i="2"/>
  <c r="AY153" i="2"/>
  <c r="CG153" i="2" s="1"/>
  <c r="AY150" i="2"/>
  <c r="CG150" i="2" s="1"/>
  <c r="R451" i="2"/>
  <c r="DU104" i="2"/>
  <c r="DR67" i="2" s="1"/>
  <c r="CI54" i="2" s="1"/>
  <c r="CO54" i="2" s="1"/>
  <c r="AR54" i="2" s="1"/>
  <c r="DH54" i="2" s="1"/>
  <c r="DV94" i="2"/>
  <c r="M448" i="2"/>
  <c r="N448" i="2" s="1"/>
  <c r="S448" i="2"/>
  <c r="Q448" i="2" s="1"/>
  <c r="N440" i="2"/>
  <c r="P440" i="2" s="1"/>
  <c r="C3" i="8"/>
  <c r="N432" i="2"/>
  <c r="P432" i="2" s="1"/>
  <c r="R439" i="2"/>
  <c r="C11" i="8"/>
  <c r="R432" i="2"/>
  <c r="AC57" i="2"/>
  <c r="R457" i="2"/>
  <c r="N457" i="2"/>
  <c r="O457" i="2" s="1"/>
  <c r="DY103" i="2"/>
  <c r="DX103" i="2"/>
  <c r="CA166" i="2"/>
  <c r="CA167" i="2" s="1"/>
  <c r="BY166" i="2"/>
  <c r="BY167" i="2" s="1"/>
  <c r="CG154" i="2"/>
  <c r="N439" i="2"/>
  <c r="P439" i="2" s="1"/>
  <c r="CG148" i="2"/>
  <c r="R455" i="2"/>
  <c r="N455" i="2"/>
  <c r="O455" i="2" s="1"/>
  <c r="L454" i="2"/>
  <c r="AQ432" i="2" s="1"/>
  <c r="S454" i="2"/>
  <c r="Q454" i="2" s="1"/>
  <c r="M454" i="2"/>
  <c r="H6" i="8" s="1"/>
  <c r="CB166" i="2"/>
  <c r="CB167" i="2" s="1"/>
  <c r="BZ166" i="2"/>
  <c r="BZ167" i="2" s="1"/>
  <c r="J92" i="2"/>
  <c r="K92" i="2" s="1"/>
  <c r="I95" i="2" s="1"/>
  <c r="BR166" i="2"/>
  <c r="BR167" i="2" s="1"/>
  <c r="Z439" i="2"/>
  <c r="AB439" i="2" s="1"/>
  <c r="AD439" i="2" s="1"/>
  <c r="Z434" i="2"/>
  <c r="AB434" i="2" s="1"/>
  <c r="AD434" i="2" s="1"/>
  <c r="AA433" i="2"/>
  <c r="AC433" i="2" s="1"/>
  <c r="AE433" i="2" s="1"/>
  <c r="BO146" i="2"/>
  <c r="Y53" i="2"/>
  <c r="X53" i="2"/>
  <c r="W85" i="2"/>
  <c r="Z85" i="2" s="1"/>
  <c r="AB83" i="2" s="1"/>
  <c r="Z451" i="2"/>
  <c r="AB451" i="2" s="1"/>
  <c r="AD451" i="2" s="1"/>
  <c r="AX175" i="2"/>
  <c r="AE53" i="2"/>
  <c r="AE98" i="2"/>
  <c r="V61" i="2"/>
  <c r="BL51" i="2"/>
  <c r="AP54" i="2"/>
  <c r="Z435" i="2"/>
  <c r="AB435" i="2" s="1"/>
  <c r="AD435" i="2" s="1"/>
  <c r="X59" i="2"/>
  <c r="Y59" i="2"/>
  <c r="AX170" i="2"/>
  <c r="AY170" i="2"/>
  <c r="AW170" i="2"/>
  <c r="CF170" i="2" s="1"/>
  <c r="AX168" i="2"/>
  <c r="AY168" i="2"/>
  <c r="AW168" i="2"/>
  <c r="CF168" i="2" s="1"/>
  <c r="Y70" i="2"/>
  <c r="X70" i="2"/>
  <c r="X72" i="2"/>
  <c r="Y72" i="2"/>
  <c r="AY174" i="2"/>
  <c r="CG174" i="2" s="1"/>
  <c r="AE52" i="2"/>
  <c r="AE97" i="2"/>
  <c r="V75" i="2"/>
  <c r="AH97" i="2"/>
  <c r="AE64" i="2"/>
  <c r="AF52" i="2"/>
  <c r="AF97" i="2"/>
  <c r="W90" i="2"/>
  <c r="Z90" i="2" s="1"/>
  <c r="Y63" i="2"/>
  <c r="X63" i="2"/>
  <c r="Y64" i="2"/>
  <c r="X64" i="2"/>
  <c r="W91" i="2"/>
  <c r="Z91" i="2" s="1"/>
  <c r="AH65" i="2"/>
  <c r="AH96" i="2"/>
  <c r="AH63" i="2"/>
  <c r="AE63" i="2"/>
  <c r="V74" i="2"/>
  <c r="Z437" i="2"/>
  <c r="AB437" i="2" s="1"/>
  <c r="AD437" i="2" s="1"/>
  <c r="AA450" i="2"/>
  <c r="AC450" i="2" s="1"/>
  <c r="AD450" i="2" s="1"/>
  <c r="Y71" i="2"/>
  <c r="X71" i="2"/>
  <c r="Y56" i="2"/>
  <c r="X56" i="2"/>
  <c r="AE54" i="2"/>
  <c r="AE99" i="2"/>
  <c r="AG97" i="2"/>
  <c r="AF64" i="2"/>
  <c r="AF63" i="2"/>
  <c r="AG96" i="2"/>
  <c r="AX173" i="2"/>
  <c r="AW173" i="2"/>
  <c r="CF173" i="2" s="1"/>
  <c r="AY173" i="2"/>
  <c r="AY175" i="2"/>
  <c r="N434" i="2"/>
  <c r="P434" i="2" s="1"/>
  <c r="AW175" i="2"/>
  <c r="CF175" i="2" s="1"/>
  <c r="AF99" i="2"/>
  <c r="AF54" i="2"/>
  <c r="Y459" i="2"/>
  <c r="Z459" i="2" s="1"/>
  <c r="AB459" i="2" s="1"/>
  <c r="R434" i="2"/>
  <c r="X68" i="2"/>
  <c r="Y68" i="2"/>
  <c r="DX100" i="2"/>
  <c r="DY100" i="2"/>
  <c r="DW100" i="2"/>
  <c r="X69" i="2"/>
  <c r="Y69" i="2"/>
  <c r="AY167" i="2"/>
  <c r="CG167" i="2" s="1"/>
  <c r="AX172" i="2"/>
  <c r="AY172" i="2"/>
  <c r="AH51" i="2"/>
  <c r="BJ166" i="2"/>
  <c r="BJ167" i="2" s="1"/>
  <c r="BJ168" i="2" s="1"/>
  <c r="BJ169" i="2" s="1"/>
  <c r="BJ170" i="2" s="1"/>
  <c r="BJ171" i="2" s="1"/>
  <c r="BJ172" i="2" s="1"/>
  <c r="BJ173" i="2" s="1"/>
  <c r="BJ174" i="2" s="1"/>
  <c r="BJ175" i="2" s="1"/>
  <c r="BU166" i="2"/>
  <c r="BU167" i="2" s="1"/>
  <c r="BU168" i="2" s="1"/>
  <c r="BU169" i="2" s="1"/>
  <c r="BU170" i="2" s="1"/>
  <c r="BU171" i="2" s="1"/>
  <c r="BU172" i="2" s="1"/>
  <c r="BU173" i="2" s="1"/>
  <c r="BU174" i="2" s="1"/>
  <c r="BU175" i="2" s="1"/>
  <c r="BN166" i="2"/>
  <c r="BN167" i="2" s="1"/>
  <c r="BN168" i="2" s="1"/>
  <c r="BN169" i="2" s="1"/>
  <c r="BN170" i="2" s="1"/>
  <c r="BN171" i="2" s="1"/>
  <c r="BN172" i="2" s="1"/>
  <c r="BN173" i="2" s="1"/>
  <c r="BN174" i="2" s="1"/>
  <c r="BN175" i="2" s="1"/>
  <c r="BK166" i="2"/>
  <c r="BK167" i="2" s="1"/>
  <c r="BK168" i="2" s="1"/>
  <c r="BK169" i="2" s="1"/>
  <c r="BK170" i="2" s="1"/>
  <c r="BK171" i="2" s="1"/>
  <c r="BK172" i="2" s="1"/>
  <c r="BK173" i="2" s="1"/>
  <c r="BK174" i="2" s="1"/>
  <c r="BK175" i="2" s="1"/>
  <c r="BL166" i="2"/>
  <c r="BL167" i="2" s="1"/>
  <c r="BL168" i="2" s="1"/>
  <c r="BL169" i="2" s="1"/>
  <c r="BL170" i="2" s="1"/>
  <c r="BL171" i="2" s="1"/>
  <c r="BL172" i="2" s="1"/>
  <c r="BL173" i="2" s="1"/>
  <c r="BL174" i="2" s="1"/>
  <c r="BL175" i="2" s="1"/>
  <c r="BG166" i="2"/>
  <c r="BG167" i="2" s="1"/>
  <c r="BG168" i="2" s="1"/>
  <c r="BG169" i="2" s="1"/>
  <c r="BG170" i="2" s="1"/>
  <c r="BG171" i="2" s="1"/>
  <c r="BG172" i="2" s="1"/>
  <c r="BG173" i="2" s="1"/>
  <c r="BG174" i="2" s="1"/>
  <c r="BG175" i="2" s="1"/>
  <c r="BV166" i="2"/>
  <c r="BV167" i="2" s="1"/>
  <c r="BV168" i="2" s="1"/>
  <c r="BV169" i="2" s="1"/>
  <c r="BV170" i="2" s="1"/>
  <c r="BV171" i="2" s="1"/>
  <c r="BV172" i="2" s="1"/>
  <c r="BV173" i="2" s="1"/>
  <c r="BV174" i="2" s="1"/>
  <c r="BV175" i="2" s="1"/>
  <c r="BH166" i="2"/>
  <c r="BW166" i="2"/>
  <c r="BW167" i="2" s="1"/>
  <c r="BW168" i="2" s="1"/>
  <c r="BW169" i="2" s="1"/>
  <c r="BW170" i="2" s="1"/>
  <c r="BW171" i="2" s="1"/>
  <c r="BW172" i="2" s="1"/>
  <c r="BW173" i="2" s="1"/>
  <c r="BW174" i="2" s="1"/>
  <c r="BW175" i="2" s="1"/>
  <c r="BX166" i="2"/>
  <c r="BX167" i="2" s="1"/>
  <c r="BX168" i="2" s="1"/>
  <c r="BX169" i="2" s="1"/>
  <c r="BX170" i="2" s="1"/>
  <c r="BX171" i="2" s="1"/>
  <c r="BX172" i="2" s="1"/>
  <c r="BX173" i="2" s="1"/>
  <c r="BX174" i="2" s="1"/>
  <c r="BX175" i="2" s="1"/>
  <c r="BI166" i="2"/>
  <c r="BI167" i="2" s="1"/>
  <c r="BI168" i="2" s="1"/>
  <c r="BI169" i="2" s="1"/>
  <c r="BI170" i="2" s="1"/>
  <c r="BI171" i="2" s="1"/>
  <c r="BI172" i="2" s="1"/>
  <c r="BI173" i="2" s="1"/>
  <c r="BI174" i="2" s="1"/>
  <c r="BI175" i="2" s="1"/>
  <c r="AW169" i="2"/>
  <c r="CF169" i="2" s="1"/>
  <c r="AY169" i="2"/>
  <c r="AX169" i="2"/>
  <c r="G4" i="8"/>
  <c r="N456" i="2"/>
  <c r="R456" i="2"/>
  <c r="N453" i="2"/>
  <c r="G7" i="8"/>
  <c r="R453" i="2"/>
  <c r="R452" i="2"/>
  <c r="N452" i="2"/>
  <c r="G8" i="8"/>
  <c r="AA453" i="2"/>
  <c r="AC453" i="2" s="1"/>
  <c r="AD453" i="2" s="1"/>
  <c r="R450" i="2"/>
  <c r="N450" i="2"/>
  <c r="G10" i="8"/>
  <c r="N449" i="2"/>
  <c r="R449" i="2"/>
  <c r="G11" i="8"/>
  <c r="DX99" i="2"/>
  <c r="DW99" i="2"/>
  <c r="DY99" i="2"/>
  <c r="CC166" i="2"/>
  <c r="BD167" i="2"/>
  <c r="G12" i="8"/>
  <c r="R438" i="2"/>
  <c r="N438" i="2"/>
  <c r="C5" i="8"/>
  <c r="R436" i="2"/>
  <c r="N436" i="2"/>
  <c r="C7" i="8"/>
  <c r="C8" i="8"/>
  <c r="R435" i="2"/>
  <c r="N435" i="2"/>
  <c r="N433" i="2"/>
  <c r="R433" i="2"/>
  <c r="C10" i="8"/>
  <c r="DX92" i="2"/>
  <c r="DY92" i="2"/>
  <c r="DW92" i="2"/>
  <c r="CF145" i="2"/>
  <c r="BC145" i="2"/>
  <c r="BC146" i="2" s="1"/>
  <c r="BC147" i="2" s="1"/>
  <c r="BC148" i="2" s="1"/>
  <c r="BC149" i="2" s="1"/>
  <c r="BC150" i="2" s="1"/>
  <c r="BC151" i="2" s="1"/>
  <c r="BC152" i="2" s="1"/>
  <c r="BC153" i="2" s="1"/>
  <c r="BC154" i="2" s="1"/>
  <c r="BB145" i="2"/>
  <c r="BB146" i="2" s="1"/>
  <c r="M431" i="2"/>
  <c r="D12" i="8" s="1"/>
  <c r="L431" i="2"/>
  <c r="S431" i="2"/>
  <c r="Q431" i="2" s="1"/>
  <c r="M437" i="2"/>
  <c r="L437" i="2"/>
  <c r="S437" i="2"/>
  <c r="Q437" i="2" s="1"/>
  <c r="AO431" i="2"/>
  <c r="Z438" i="2"/>
  <c r="AB438" i="2" s="1"/>
  <c r="BD145" i="2" l="1"/>
  <c r="BA145" i="2"/>
  <c r="BI145" i="2"/>
  <c r="BI146" i="2" s="1"/>
  <c r="BK145" i="2"/>
  <c r="BV145" i="2"/>
  <c r="BV146" i="2" s="1"/>
  <c r="BV147" i="2" s="1"/>
  <c r="BV148" i="2" s="1"/>
  <c r="BV149" i="2" s="1"/>
  <c r="BV150" i="2" s="1"/>
  <c r="BV151" i="2" s="1"/>
  <c r="BV152" i="2" s="1"/>
  <c r="BV153" i="2" s="1"/>
  <c r="BV154" i="2" s="1"/>
  <c r="BH145" i="2"/>
  <c r="BH146" i="2" s="1"/>
  <c r="Z436" i="2"/>
  <c r="AB436" i="2" s="1"/>
  <c r="AD436" i="2" s="1"/>
  <c r="BW145" i="2"/>
  <c r="BW146" i="2" s="1"/>
  <c r="BW147" i="2" s="1"/>
  <c r="BW148" i="2" s="1"/>
  <c r="BW149" i="2" s="1"/>
  <c r="BW150" i="2" s="1"/>
  <c r="BW151" i="2" s="1"/>
  <c r="BW152" i="2" s="1"/>
  <c r="BW153" i="2" s="1"/>
  <c r="BW154" i="2" s="1"/>
  <c r="BX145" i="2"/>
  <c r="BX146" i="2" s="1"/>
  <c r="BX147" i="2" s="1"/>
  <c r="BX148" i="2" s="1"/>
  <c r="BX149" i="2" s="1"/>
  <c r="BX150" i="2" s="1"/>
  <c r="BX151" i="2" s="1"/>
  <c r="BX152" i="2" s="1"/>
  <c r="BX153" i="2" s="1"/>
  <c r="BX154" i="2" s="1"/>
  <c r="BB147" i="2"/>
  <c r="BB148" i="2" s="1"/>
  <c r="BB149" i="2" s="1"/>
  <c r="BB150" i="2" s="1"/>
  <c r="BB151" i="2" s="1"/>
  <c r="BB152" i="2" s="1"/>
  <c r="BB153" i="2" s="1"/>
  <c r="BB154" i="2" s="1"/>
  <c r="BQ167" i="2"/>
  <c r="BI147" i="2"/>
  <c r="BI148" i="2" s="1"/>
  <c r="BI149" i="2" s="1"/>
  <c r="BI150" i="2" s="1"/>
  <c r="BI151" i="2" s="1"/>
  <c r="BI152" i="2" s="1"/>
  <c r="BI153" i="2" s="1"/>
  <c r="BI154" i="2" s="1"/>
  <c r="DV97" i="2"/>
  <c r="DS66" i="2" s="1"/>
  <c r="CD53" i="2" s="1"/>
  <c r="CN53" i="2" s="1"/>
  <c r="AR55" i="2" s="1"/>
  <c r="DI54" i="2" s="1"/>
  <c r="CG166" i="2"/>
  <c r="O440" i="2"/>
  <c r="DW96" i="2"/>
  <c r="BS166" i="2"/>
  <c r="BS167" i="2" s="1"/>
  <c r="BS168" i="2" s="1"/>
  <c r="BS169" i="2" s="1"/>
  <c r="BS170" i="2" s="1"/>
  <c r="BS171" i="2" s="1"/>
  <c r="BS172" i="2" s="1"/>
  <c r="BS173" i="2" s="1"/>
  <c r="BS174" i="2" s="1"/>
  <c r="BS175" i="2" s="1"/>
  <c r="BE160" i="2" s="1"/>
  <c r="DX96" i="2"/>
  <c r="CF166" i="2"/>
  <c r="AA455" i="2"/>
  <c r="AC455" i="2" s="1"/>
  <c r="AE455" i="2" s="1"/>
  <c r="DX101" i="2"/>
  <c r="CG146" i="2"/>
  <c r="BB166" i="2"/>
  <c r="BB167" i="2" s="1"/>
  <c r="BB168" i="2" s="1"/>
  <c r="BB169" i="2" s="1"/>
  <c r="BB170" i="2" s="1"/>
  <c r="BB171" i="2" s="1"/>
  <c r="BB172" i="2" s="1"/>
  <c r="BB173" i="2" s="1"/>
  <c r="BB174" i="2" s="1"/>
  <c r="BB175" i="2" s="1"/>
  <c r="Z440" i="2"/>
  <c r="AB440" i="2" s="1"/>
  <c r="AE440" i="2" s="1"/>
  <c r="DW101" i="2"/>
  <c r="DW104" i="2" s="1"/>
  <c r="DW105" i="2" s="1"/>
  <c r="DU97" i="2"/>
  <c r="DR66" i="2" s="1"/>
  <c r="CC53" i="2" s="1"/>
  <c r="CM53" i="2" s="1"/>
  <c r="AR52" i="2" s="1"/>
  <c r="DH53" i="2" s="1"/>
  <c r="AE454" i="2"/>
  <c r="AJ454" i="2" s="1"/>
  <c r="BC166" i="2"/>
  <c r="BC167" i="2" s="1"/>
  <c r="BA166" i="2"/>
  <c r="BA167" i="2" s="1"/>
  <c r="BJ147" i="2"/>
  <c r="BJ148" i="2" s="1"/>
  <c r="BJ149" i="2" s="1"/>
  <c r="BJ150" i="2" s="1"/>
  <c r="BJ151" i="2" s="1"/>
  <c r="BJ152" i="2" s="1"/>
  <c r="BJ153" i="2" s="1"/>
  <c r="BJ154" i="2" s="1"/>
  <c r="BO166" i="2"/>
  <c r="BO167" i="2" s="1"/>
  <c r="CG173" i="2"/>
  <c r="AD441" i="2"/>
  <c r="AJ441" i="2" s="1"/>
  <c r="BK146" i="2"/>
  <c r="BK147" i="2" s="1"/>
  <c r="BK148" i="2" s="1"/>
  <c r="BK149" i="2" s="1"/>
  <c r="BK150" i="2" s="1"/>
  <c r="BK151" i="2" s="1"/>
  <c r="BK152" i="2" s="1"/>
  <c r="BK153" i="2" s="1"/>
  <c r="BK154" i="2" s="1"/>
  <c r="BD159" i="2" s="1"/>
  <c r="BP166" i="2"/>
  <c r="BP167" i="2" s="1"/>
  <c r="BP168" i="2" s="1"/>
  <c r="BP169" i="2" s="1"/>
  <c r="BP170" i="2" s="1"/>
  <c r="BP171" i="2" s="1"/>
  <c r="BP172" i="2" s="1"/>
  <c r="BP173" i="2" s="1"/>
  <c r="BP174" i="2" s="1"/>
  <c r="BP175" i="2" s="1"/>
  <c r="BU146" i="2"/>
  <c r="BU147" i="2" s="1"/>
  <c r="BU148" i="2" s="1"/>
  <c r="BU149" i="2" s="1"/>
  <c r="BU150" i="2" s="1"/>
  <c r="BU151" i="2" s="1"/>
  <c r="BU152" i="2" s="1"/>
  <c r="BU153" i="2" s="1"/>
  <c r="BU154" i="2" s="1"/>
  <c r="CG151" i="2"/>
  <c r="BE146" i="2"/>
  <c r="CD146" i="2" s="1"/>
  <c r="Z452" i="2"/>
  <c r="AB452" i="2" s="1"/>
  <c r="O451" i="2"/>
  <c r="Z456" i="2"/>
  <c r="AB456" i="2" s="1"/>
  <c r="AE456" i="2" s="1"/>
  <c r="AA452" i="2"/>
  <c r="AC452" i="2" s="1"/>
  <c r="CG145" i="2"/>
  <c r="AQ434" i="2"/>
  <c r="DX93" i="2"/>
  <c r="DW93" i="2"/>
  <c r="H12" i="8"/>
  <c r="R448" i="2"/>
  <c r="DX94" i="2"/>
  <c r="BL145" i="2"/>
  <c r="BL146" i="2" s="1"/>
  <c r="BL147" i="2" s="1"/>
  <c r="BL148" i="2" s="1"/>
  <c r="BL149" i="2" s="1"/>
  <c r="BL150" i="2" s="1"/>
  <c r="BL151" i="2" s="1"/>
  <c r="BL152" i="2" s="1"/>
  <c r="BL153" i="2" s="1"/>
  <c r="BL154" i="2" s="1"/>
  <c r="BE159" i="2" s="1"/>
  <c r="Z458" i="2"/>
  <c r="AB458" i="2" s="1"/>
  <c r="AE458" i="2" s="1"/>
  <c r="DY94" i="2"/>
  <c r="BT145" i="2"/>
  <c r="AG102" i="2"/>
  <c r="AF92" i="2" s="1"/>
  <c r="AF93" i="2" s="1"/>
  <c r="AE435" i="2"/>
  <c r="AI435" i="2" s="1"/>
  <c r="CG172" i="2"/>
  <c r="AQ433" i="2"/>
  <c r="AQ435" i="2" s="1"/>
  <c r="CG168" i="2"/>
  <c r="O432" i="2"/>
  <c r="P457" i="2"/>
  <c r="H13" i="8"/>
  <c r="AG85" i="2"/>
  <c r="AF112" i="2" s="1"/>
  <c r="BR168" i="2"/>
  <c r="BR169" i="2" s="1"/>
  <c r="BR170" i="2" s="1"/>
  <c r="BR171" i="2" s="1"/>
  <c r="BR172" i="2" s="1"/>
  <c r="BR173" i="2" s="1"/>
  <c r="BR174" i="2" s="1"/>
  <c r="BR175" i="2" s="1"/>
  <c r="BD160" i="2" s="1"/>
  <c r="AE436" i="2"/>
  <c r="AF436" i="2" s="1"/>
  <c r="AA432" i="2"/>
  <c r="AC432" i="2" s="1"/>
  <c r="AD432" i="2" s="1"/>
  <c r="O439" i="2"/>
  <c r="CG175" i="2"/>
  <c r="P455" i="2"/>
  <c r="AC83" i="2"/>
  <c r="BY168" i="2"/>
  <c r="BY169" i="2" s="1"/>
  <c r="BY170" i="2" s="1"/>
  <c r="BY171" i="2" s="1"/>
  <c r="BY172" i="2" s="1"/>
  <c r="BY173" i="2" s="1"/>
  <c r="BY174" i="2" s="1"/>
  <c r="BY175" i="2" s="1"/>
  <c r="AD433" i="2"/>
  <c r="AF433" i="2" s="1"/>
  <c r="AE102" i="2"/>
  <c r="AE92" i="2" s="1"/>
  <c r="AE93" i="2" s="1"/>
  <c r="G6" i="8"/>
  <c r="G13" i="8" s="1"/>
  <c r="N454" i="2"/>
  <c r="R454" i="2"/>
  <c r="CA168" i="2"/>
  <c r="CA169" i="2" s="1"/>
  <c r="CA170" i="2" s="1"/>
  <c r="CA171" i="2" s="1"/>
  <c r="CA172" i="2" s="1"/>
  <c r="CA173" i="2" s="1"/>
  <c r="CA174" i="2" s="1"/>
  <c r="CA175" i="2" s="1"/>
  <c r="AH102" i="2"/>
  <c r="DX104" i="2"/>
  <c r="DX105" i="2" s="1"/>
  <c r="AF69" i="2"/>
  <c r="L92" i="2"/>
  <c r="I96" i="2" s="1"/>
  <c r="L95" i="2" s="1"/>
  <c r="I12" i="1" s="1"/>
  <c r="AE439" i="2"/>
  <c r="AF439" i="2" s="1"/>
  <c r="O434" i="2"/>
  <c r="AE434" i="2"/>
  <c r="AF434" i="2" s="1"/>
  <c r="CG169" i="2"/>
  <c r="BZ168" i="2"/>
  <c r="BZ169" i="2" s="1"/>
  <c r="BZ170" i="2" s="1"/>
  <c r="BZ171" i="2" s="1"/>
  <c r="BZ172" i="2" s="1"/>
  <c r="BZ173" i="2" s="1"/>
  <c r="BZ174" i="2" s="1"/>
  <c r="BZ175" i="2" s="1"/>
  <c r="CB168" i="2"/>
  <c r="CB169" i="2" s="1"/>
  <c r="CB170" i="2" s="1"/>
  <c r="CB171" i="2" s="1"/>
  <c r="CB172" i="2" s="1"/>
  <c r="CB173" i="2" s="1"/>
  <c r="CB174" i="2" s="1"/>
  <c r="CB175" i="2" s="1"/>
  <c r="BC168" i="2"/>
  <c r="BC169" i="2" s="1"/>
  <c r="BC170" i="2" s="1"/>
  <c r="BC171" i="2" s="1"/>
  <c r="BC172" i="2" s="1"/>
  <c r="BC173" i="2" s="1"/>
  <c r="BC174" i="2" s="1"/>
  <c r="BC175" i="2" s="1"/>
  <c r="BQ168" i="2"/>
  <c r="BQ169" i="2" s="1"/>
  <c r="BQ170" i="2" s="1"/>
  <c r="BQ171" i="2" s="1"/>
  <c r="BQ172" i="2" s="1"/>
  <c r="BQ173" i="2" s="1"/>
  <c r="BQ174" i="2" s="1"/>
  <c r="BQ175" i="2" s="1"/>
  <c r="AE69" i="2"/>
  <c r="DY104" i="2"/>
  <c r="DY105" i="2" s="1"/>
  <c r="AE85" i="2"/>
  <c r="BM166" i="2"/>
  <c r="AE450" i="2"/>
  <c r="AI450" i="2" s="1"/>
  <c r="AE57" i="2"/>
  <c r="BO147" i="2"/>
  <c r="BT146" i="2"/>
  <c r="BH167" i="2"/>
  <c r="Z457" i="2"/>
  <c r="AB457" i="2" s="1"/>
  <c r="AE437" i="2"/>
  <c r="AJ437" i="2" s="1"/>
  <c r="AA459" i="2"/>
  <c r="AC459" i="2" s="1"/>
  <c r="AE459" i="2" s="1"/>
  <c r="AH66" i="2"/>
  <c r="AH60" i="2" s="1"/>
  <c r="AF102" i="2"/>
  <c r="AF85" i="2"/>
  <c r="AE451" i="2"/>
  <c r="AI451" i="2" s="1"/>
  <c r="AF57" i="2"/>
  <c r="CG170" i="2"/>
  <c r="O456" i="2"/>
  <c r="P456" i="2"/>
  <c r="P453" i="2"/>
  <c r="O453" i="2"/>
  <c r="O452" i="2"/>
  <c r="P452" i="2"/>
  <c r="AE453" i="2"/>
  <c r="AF453" i="2" s="1"/>
  <c r="P450" i="2"/>
  <c r="O450" i="2"/>
  <c r="P449" i="2"/>
  <c r="O449" i="2"/>
  <c r="CD166" i="2"/>
  <c r="BE167" i="2"/>
  <c r="O448" i="2"/>
  <c r="P448" i="2"/>
  <c r="CC167" i="2"/>
  <c r="BD168" i="2"/>
  <c r="P438" i="2"/>
  <c r="O438" i="2"/>
  <c r="P436" i="2"/>
  <c r="O436" i="2"/>
  <c r="O435" i="2"/>
  <c r="P435" i="2"/>
  <c r="P433" i="2"/>
  <c r="O433" i="2"/>
  <c r="R431" i="2"/>
  <c r="C12" i="8"/>
  <c r="N431" i="2"/>
  <c r="BF145" i="2"/>
  <c r="BA146" i="2"/>
  <c r="BP149" i="2"/>
  <c r="CC145" i="2"/>
  <c r="BD146" i="2"/>
  <c r="AO432" i="2"/>
  <c r="AO434" i="2" s="1"/>
  <c r="C6" i="8"/>
  <c r="R437" i="2"/>
  <c r="N437" i="2"/>
  <c r="AD438" i="2"/>
  <c r="AE438" i="2"/>
  <c r="AO433" i="2"/>
  <c r="AO435" i="2" s="1"/>
  <c r="D6" i="8"/>
  <c r="D13" i="8" s="1"/>
  <c r="AY67" i="2" l="1"/>
  <c r="DW97" i="2"/>
  <c r="DW90" i="2" s="1"/>
  <c r="BM145" i="2"/>
  <c r="DX97" i="2"/>
  <c r="DX90" i="2" s="1"/>
  <c r="AD455" i="2"/>
  <c r="AI455" i="2" s="1"/>
  <c r="AY60" i="2"/>
  <c r="BE147" i="2"/>
  <c r="CD147" i="2" s="1"/>
  <c r="BF166" i="2"/>
  <c r="AD440" i="2"/>
  <c r="AN432" i="2" s="1"/>
  <c r="AI441" i="2"/>
  <c r="AE452" i="2"/>
  <c r="AQ440" i="2"/>
  <c r="AN431" i="2"/>
  <c r="BG159" i="2"/>
  <c r="BH159" i="2" s="1"/>
  <c r="AF441" i="2"/>
  <c r="AG441" i="2" s="1"/>
  <c r="AI454" i="2"/>
  <c r="AF454" i="2"/>
  <c r="AG454" i="2" s="1"/>
  <c r="AD456" i="2"/>
  <c r="AI456" i="2" s="1"/>
  <c r="BT166" i="2"/>
  <c r="CE166" i="2" s="1"/>
  <c r="BG160" i="2"/>
  <c r="BH160" i="2" s="1"/>
  <c r="AD452" i="2"/>
  <c r="CE145" i="2"/>
  <c r="AD458" i="2"/>
  <c r="AF458" i="2" s="1"/>
  <c r="AH458" i="2" s="1"/>
  <c r="AJ435" i="2"/>
  <c r="AF435" i="2"/>
  <c r="AH435" i="2" s="1"/>
  <c r="AM440" i="2"/>
  <c r="AN440" i="2" s="1"/>
  <c r="DZ91" i="2"/>
  <c r="DT66" i="2" s="1"/>
  <c r="AT52" i="2" s="1"/>
  <c r="DJ53" i="2" s="1"/>
  <c r="DK53" i="2" s="1"/>
  <c r="CZ53" i="2" s="1"/>
  <c r="CZ68" i="2" s="1"/>
  <c r="AE432" i="2"/>
  <c r="AF432" i="2" s="1"/>
  <c r="AJ436" i="2"/>
  <c r="AI436" i="2"/>
  <c r="AI439" i="2"/>
  <c r="AG87" i="2"/>
  <c r="AJ434" i="2"/>
  <c r="AI434" i="2"/>
  <c r="AE87" i="2"/>
  <c r="AG91" i="2"/>
  <c r="AJ450" i="2"/>
  <c r="AH91" i="2"/>
  <c r="AE94" i="2"/>
  <c r="AF450" i="2"/>
  <c r="AG450" i="2" s="1"/>
  <c r="AF106" i="2"/>
  <c r="AH87" i="2"/>
  <c r="K93" i="2"/>
  <c r="K94" i="2" s="1"/>
  <c r="K12" i="1" s="1"/>
  <c r="AJ439" i="2"/>
  <c r="AI433" i="2"/>
  <c r="AJ433" i="2"/>
  <c r="O454" i="2"/>
  <c r="AN546" i="2" s="1"/>
  <c r="AN553" i="2" s="1"/>
  <c r="P454" i="2"/>
  <c r="AQ436" i="2" s="1"/>
  <c r="AF108" i="2"/>
  <c r="AE110" i="2"/>
  <c r="AE112" i="2" s="1"/>
  <c r="AF113" i="2" s="1"/>
  <c r="AB71" i="2"/>
  <c r="DZ104" i="2"/>
  <c r="DT67" i="2" s="1"/>
  <c r="AT53" i="2" s="1"/>
  <c r="DJ54" i="2" s="1"/>
  <c r="DK54" i="2" s="1"/>
  <c r="CZ54" i="2" s="1"/>
  <c r="DA64" i="2" s="1"/>
  <c r="DI64" i="2" s="1"/>
  <c r="BM57" i="2" s="1"/>
  <c r="EA54" i="2" s="1"/>
  <c r="R14" i="1" s="1"/>
  <c r="AI129" i="2" s="1"/>
  <c r="AJ129" i="2" s="1"/>
  <c r="L3" i="8"/>
  <c r="L4" i="8" s="1"/>
  <c r="AF437" i="2"/>
  <c r="AH437" i="2" s="1"/>
  <c r="AI437" i="2"/>
  <c r="AB59" i="2"/>
  <c r="BO148" i="2"/>
  <c r="BT147" i="2"/>
  <c r="AE457" i="2"/>
  <c r="AR433" i="2" s="1"/>
  <c r="AD457" i="2"/>
  <c r="BH168" i="2"/>
  <c r="BM167" i="2"/>
  <c r="AD459" i="2"/>
  <c r="AF451" i="2"/>
  <c r="AG451" i="2" s="1"/>
  <c r="AJ451" i="2"/>
  <c r="AH433" i="2"/>
  <c r="AG433" i="2"/>
  <c r="AE106" i="2"/>
  <c r="AF87" i="2"/>
  <c r="AE108" i="2"/>
  <c r="AF94" i="2"/>
  <c r="AJ440" i="2"/>
  <c r="AI440" i="2"/>
  <c r="AF440" i="2"/>
  <c r="AF110" i="2"/>
  <c r="AR431" i="2"/>
  <c r="AG453" i="2"/>
  <c r="AH453" i="2"/>
  <c r="AJ453" i="2"/>
  <c r="AI453" i="2"/>
  <c r="BF167" i="2"/>
  <c r="BA168" i="2"/>
  <c r="BD169" i="2"/>
  <c r="CC168" i="2"/>
  <c r="BO168" i="2"/>
  <c r="BT167" i="2"/>
  <c r="CD167" i="2"/>
  <c r="BE168" i="2"/>
  <c r="AH439" i="2"/>
  <c r="AG439" i="2"/>
  <c r="AG436" i="2"/>
  <c r="AH436" i="2"/>
  <c r="AH434" i="2"/>
  <c r="AG434" i="2"/>
  <c r="BD147" i="2"/>
  <c r="CC146" i="2"/>
  <c r="BF146" i="2"/>
  <c r="BA147" i="2"/>
  <c r="C13" i="8"/>
  <c r="K3" i="8" s="1"/>
  <c r="BP150" i="2"/>
  <c r="BH147" i="2"/>
  <c r="BM146" i="2"/>
  <c r="CE146" i="2" s="1"/>
  <c r="P431" i="2"/>
  <c r="O431" i="2"/>
  <c r="AI438" i="2"/>
  <c r="AF438" i="2"/>
  <c r="AJ438" i="2"/>
  <c r="P437" i="2"/>
  <c r="O437" i="2"/>
  <c r="BE148" i="2" l="1"/>
  <c r="CZ91" i="2"/>
  <c r="AF455" i="2"/>
  <c r="AH455" i="2" s="1"/>
  <c r="AJ455" i="2"/>
  <c r="AH441" i="2"/>
  <c r="CZ59" i="2"/>
  <c r="AJ456" i="2"/>
  <c r="BI160" i="2"/>
  <c r="BK160" i="2" s="1"/>
  <c r="AN434" i="2"/>
  <c r="CZ127" i="2"/>
  <c r="CZ123" i="2"/>
  <c r="CZ125" i="2"/>
  <c r="CZ101" i="2"/>
  <c r="AI432" i="2"/>
  <c r="AJ432" i="2"/>
  <c r="AQ437" i="2"/>
  <c r="CZ98" i="2"/>
  <c r="AG435" i="2"/>
  <c r="AF456" i="2"/>
  <c r="AH456" i="2" s="1"/>
  <c r="AN433" i="2"/>
  <c r="AN435" i="2" s="1"/>
  <c r="BI159" i="2"/>
  <c r="BK159" i="2" s="1"/>
  <c r="AH454" i="2"/>
  <c r="CZ109" i="2"/>
  <c r="CZ110" i="2"/>
  <c r="CZ117" i="2"/>
  <c r="CZ102" i="2"/>
  <c r="CZ114" i="2"/>
  <c r="CZ106" i="2"/>
  <c r="CZ113" i="2"/>
  <c r="AJ458" i="2"/>
  <c r="CZ97" i="2"/>
  <c r="CZ111" i="2"/>
  <c r="CZ105" i="2"/>
  <c r="CZ107" i="2"/>
  <c r="CZ84" i="2"/>
  <c r="CZ112" i="2"/>
  <c r="CZ73" i="2"/>
  <c r="CZ77" i="2"/>
  <c r="DG63" i="2" s="1"/>
  <c r="BK56" i="2" s="1"/>
  <c r="DY53" i="2" s="1"/>
  <c r="O13" i="1" s="1"/>
  <c r="AF128" i="2" s="1"/>
  <c r="AE128" i="2" s="1"/>
  <c r="AI458" i="2"/>
  <c r="AF452" i="2"/>
  <c r="AJ452" i="2"/>
  <c r="CZ95" i="2"/>
  <c r="CZ81" i="2"/>
  <c r="CZ75" i="2"/>
  <c r="CZ104" i="2"/>
  <c r="CZ100" i="2"/>
  <c r="CZ69" i="2"/>
  <c r="CZ94" i="2"/>
  <c r="CZ63" i="2"/>
  <c r="CZ86" i="2"/>
  <c r="DG60" i="2" s="1"/>
  <c r="BK53" i="2" s="1"/>
  <c r="DY50" i="2" s="1"/>
  <c r="O10" i="1" s="1"/>
  <c r="AF125" i="2" s="1"/>
  <c r="AE125" i="2" s="1"/>
  <c r="CZ74" i="2"/>
  <c r="CZ82" i="2"/>
  <c r="CZ124" i="2"/>
  <c r="AG458" i="2"/>
  <c r="AZ60" i="2"/>
  <c r="BA60" i="2" s="1"/>
  <c r="AR57" i="2" s="1"/>
  <c r="AS81" i="2" s="1"/>
  <c r="CZ71" i="2"/>
  <c r="CZ79" i="2"/>
  <c r="CZ65" i="2"/>
  <c r="DG66" i="2" s="1"/>
  <c r="BK59" i="2" s="1"/>
  <c r="DY56" i="2" s="1"/>
  <c r="O16" i="1" s="1"/>
  <c r="AF131" i="2" s="1"/>
  <c r="AE131" i="2" s="1"/>
  <c r="CZ60" i="2"/>
  <c r="CZ116" i="2"/>
  <c r="AI452" i="2"/>
  <c r="CZ72" i="2"/>
  <c r="DG64" i="2" s="1"/>
  <c r="BK57" i="2" s="1"/>
  <c r="DY54" i="2" s="1"/>
  <c r="O14" i="1" s="1"/>
  <c r="AF129" i="2" s="1"/>
  <c r="AE129" i="2" s="1"/>
  <c r="CZ76" i="2"/>
  <c r="CZ126" i="2"/>
  <c r="CZ83" i="2"/>
  <c r="DG62" i="2" s="1"/>
  <c r="BK55" i="2" s="1"/>
  <c r="DY52" i="2" s="1"/>
  <c r="O12" i="1" s="1"/>
  <c r="AF127" i="2" s="1"/>
  <c r="AE127" i="2" s="1"/>
  <c r="CZ67" i="2"/>
  <c r="CZ128" i="2"/>
  <c r="CZ96" i="2"/>
  <c r="CZ92" i="2"/>
  <c r="CZ129" i="2"/>
  <c r="CZ118" i="2"/>
  <c r="CZ80" i="2"/>
  <c r="CZ78" i="2"/>
  <c r="CZ115" i="2"/>
  <c r="CZ99" i="2"/>
  <c r="CZ108" i="2"/>
  <c r="CZ70" i="2"/>
  <c r="CZ62" i="2"/>
  <c r="CZ64" i="2"/>
  <c r="DB64" i="2" s="1"/>
  <c r="CZ61" i="2"/>
  <c r="CZ85" i="2"/>
  <c r="DG61" i="2" s="1"/>
  <c r="BK54" i="2" s="1"/>
  <c r="DY51" i="2" s="1"/>
  <c r="O11" i="1" s="1"/>
  <c r="AF126" i="2" s="1"/>
  <c r="AE126" i="2" s="1"/>
  <c r="AQ438" i="2"/>
  <c r="AS437" i="2" s="1"/>
  <c r="CZ66" i="2"/>
  <c r="CZ93" i="2"/>
  <c r="CZ103" i="2"/>
  <c r="AF74" i="2"/>
  <c r="I8" i="1" s="1"/>
  <c r="AE113" i="2"/>
  <c r="AZ67" i="2"/>
  <c r="BA67" i="2" s="1"/>
  <c r="AR58" i="2" s="1"/>
  <c r="AS72" i="2" s="1"/>
  <c r="AH450" i="2"/>
  <c r="AG437" i="2"/>
  <c r="DA128" i="2"/>
  <c r="DA105" i="2"/>
  <c r="DA125" i="2"/>
  <c r="DB125" i="2" s="1"/>
  <c r="DA101" i="2"/>
  <c r="DB101" i="2" s="1"/>
  <c r="DA116" i="2"/>
  <c r="DB116" i="2" s="1"/>
  <c r="DA76" i="2"/>
  <c r="DB76" i="2" s="1"/>
  <c r="DA96" i="2"/>
  <c r="DA95" i="2"/>
  <c r="DA66" i="2"/>
  <c r="DA62" i="2"/>
  <c r="DI62" i="2" s="1"/>
  <c r="BM55" i="2" s="1"/>
  <c r="EA52" i="2" s="1"/>
  <c r="R12" i="1" s="1"/>
  <c r="AI127" i="2" s="1"/>
  <c r="AJ127" i="2" s="1"/>
  <c r="DA110" i="2"/>
  <c r="DA102" i="2"/>
  <c r="DA108" i="2"/>
  <c r="DA63" i="2"/>
  <c r="DI63" i="2" s="1"/>
  <c r="BM56" i="2" s="1"/>
  <c r="EA53" i="2" s="1"/>
  <c r="R13" i="1" s="1"/>
  <c r="AI128" i="2" s="1"/>
  <c r="AJ128" i="2" s="1"/>
  <c r="DA126" i="2"/>
  <c r="DA59" i="2"/>
  <c r="DI59" i="2" s="1"/>
  <c r="BM52" i="2" s="1"/>
  <c r="EA49" i="2" s="1"/>
  <c r="R9" i="1" s="1"/>
  <c r="AI124" i="2" s="1"/>
  <c r="AJ124" i="2" s="1"/>
  <c r="DA124" i="2"/>
  <c r="DA113" i="2"/>
  <c r="DB113" i="2" s="1"/>
  <c r="DA97" i="2"/>
  <c r="DA129" i="2"/>
  <c r="DA82" i="2"/>
  <c r="DA111" i="2"/>
  <c r="DA118" i="2"/>
  <c r="DA117" i="2"/>
  <c r="DA94" i="2"/>
  <c r="DA114" i="2"/>
  <c r="DA83" i="2"/>
  <c r="DA98" i="2"/>
  <c r="DA106" i="2"/>
  <c r="DA99" i="2"/>
  <c r="DA73" i="2"/>
  <c r="DA77" i="2"/>
  <c r="DA109" i="2"/>
  <c r="DA127" i="2"/>
  <c r="DB127" i="2" s="1"/>
  <c r="DA92" i="2"/>
  <c r="DA85" i="2"/>
  <c r="DA123" i="2"/>
  <c r="DB123" i="2" s="1"/>
  <c r="DA79" i="2"/>
  <c r="DA78" i="2"/>
  <c r="DA115" i="2"/>
  <c r="DA70" i="2"/>
  <c r="DA69" i="2"/>
  <c r="DA103" i="2"/>
  <c r="DA107" i="2"/>
  <c r="DA86" i="2"/>
  <c r="DA112" i="2"/>
  <c r="DA93" i="2"/>
  <c r="DA75" i="2"/>
  <c r="DB75" i="2" s="1"/>
  <c r="DA104" i="2"/>
  <c r="DA80" i="2"/>
  <c r="DA71" i="2"/>
  <c r="DA100" i="2"/>
  <c r="N3" i="8"/>
  <c r="N6" i="8" s="1"/>
  <c r="DA84" i="2"/>
  <c r="DA67" i="2"/>
  <c r="DA81" i="2"/>
  <c r="DA91" i="2"/>
  <c r="DI66" i="2" s="1"/>
  <c r="BM59" i="2" s="1"/>
  <c r="EA56" i="2" s="1"/>
  <c r="R16" i="1" s="1"/>
  <c r="AI131" i="2" s="1"/>
  <c r="AJ131" i="2" s="1"/>
  <c r="DA74" i="2"/>
  <c r="DA65" i="2"/>
  <c r="DI65" i="2" s="1"/>
  <c r="BM58" i="2" s="1"/>
  <c r="EA55" i="2" s="1"/>
  <c r="R15" i="1" s="1"/>
  <c r="AI130" i="2" s="1"/>
  <c r="AJ130" i="2" s="1"/>
  <c r="DA72" i="2"/>
  <c r="DA60" i="2"/>
  <c r="DI60" i="2" s="1"/>
  <c r="BM53" i="2" s="1"/>
  <c r="EA50" i="2" s="1"/>
  <c r="R10" i="1" s="1"/>
  <c r="AI125" i="2" s="1"/>
  <c r="AJ125" i="2" s="1"/>
  <c r="DA68" i="2"/>
  <c r="DB68" i="2" s="1"/>
  <c r="DA61" i="2"/>
  <c r="DI61" i="2" s="1"/>
  <c r="BM54" i="2" s="1"/>
  <c r="EA51" i="2" s="1"/>
  <c r="R11" i="1" s="1"/>
  <c r="AI126" i="2" s="1"/>
  <c r="AJ126" i="2" s="1"/>
  <c r="M5" i="1"/>
  <c r="BO149" i="2"/>
  <c r="BT148" i="2"/>
  <c r="AG432" i="2"/>
  <c r="AH432" i="2"/>
  <c r="AG440" i="2"/>
  <c r="AH440" i="2"/>
  <c r="AH451" i="2"/>
  <c r="AF459" i="2"/>
  <c r="AJ459" i="2"/>
  <c r="AI459" i="2"/>
  <c r="AR435" i="2"/>
  <c r="AM441" i="2" s="1"/>
  <c r="AN441" i="2" s="1"/>
  <c r="BH169" i="2"/>
  <c r="BM168" i="2"/>
  <c r="AI457" i="2"/>
  <c r="AF457" i="2"/>
  <c r="AJ457" i="2"/>
  <c r="AR432" i="2"/>
  <c r="AR434" i="2" s="1"/>
  <c r="AR546" i="2" s="1"/>
  <c r="CE167" i="2"/>
  <c r="AG455" i="2"/>
  <c r="CD168" i="2"/>
  <c r="BE169" i="2"/>
  <c r="BO169" i="2"/>
  <c r="BT168" i="2"/>
  <c r="BF168" i="2"/>
  <c r="BA169" i="2"/>
  <c r="CC169" i="2"/>
  <c r="BD170" i="2"/>
  <c r="K4" i="8"/>
  <c r="AM546" i="2"/>
  <c r="AQ546" i="2" s="1"/>
  <c r="BM147" i="2"/>
  <c r="CE147" i="2" s="1"/>
  <c r="BH148" i="2"/>
  <c r="BP151" i="2"/>
  <c r="BA148" i="2"/>
  <c r="BF147" i="2"/>
  <c r="CD148" i="2"/>
  <c r="BE149" i="2"/>
  <c r="BL160" i="2"/>
  <c r="BJ160" i="2"/>
  <c r="DG59" i="2"/>
  <c r="BK52" i="2" s="1"/>
  <c r="DY49" i="2" s="1"/>
  <c r="O9" i="1" s="1"/>
  <c r="BL159" i="2"/>
  <c r="BJ159" i="2"/>
  <c r="BD148" i="2"/>
  <c r="CC147" i="2"/>
  <c r="DG65" i="2"/>
  <c r="BK58" i="2" s="1"/>
  <c r="DY55" i="2" s="1"/>
  <c r="O15" i="1" s="1"/>
  <c r="AF130" i="2" s="1"/>
  <c r="AE130" i="2" s="1"/>
  <c r="AG438" i="2"/>
  <c r="AH438" i="2"/>
  <c r="AO436" i="2"/>
  <c r="AO437" i="2"/>
  <c r="AO438" i="2"/>
  <c r="DB111" i="2" l="1"/>
  <c r="DB106" i="2"/>
  <c r="DB72" i="2"/>
  <c r="DB98" i="2"/>
  <c r="AG456" i="2"/>
  <c r="AS71" i="2"/>
  <c r="H5" i="1"/>
  <c r="DB81" i="2"/>
  <c r="DB102" i="2"/>
  <c r="DB117" i="2"/>
  <c r="DB110" i="2"/>
  <c r="AS76" i="2"/>
  <c r="DB71" i="2"/>
  <c r="AS61" i="2"/>
  <c r="AS97" i="2"/>
  <c r="AS102" i="2"/>
  <c r="DB109" i="2"/>
  <c r="DB114" i="2"/>
  <c r="DB97" i="2"/>
  <c r="DB82" i="2"/>
  <c r="DB112" i="2"/>
  <c r="DB77" i="2"/>
  <c r="DB105" i="2"/>
  <c r="DB74" i="2"/>
  <c r="DB73" i="2"/>
  <c r="DB124" i="2"/>
  <c r="DB128" i="2"/>
  <c r="DB86" i="2"/>
  <c r="DB107" i="2"/>
  <c r="DB67" i="2"/>
  <c r="AS92" i="2"/>
  <c r="DB84" i="2"/>
  <c r="DB69" i="2"/>
  <c r="DB83" i="2"/>
  <c r="AH452" i="2"/>
  <c r="AG452" i="2"/>
  <c r="DB100" i="2"/>
  <c r="DB94" i="2"/>
  <c r="DB126" i="2"/>
  <c r="DB79" i="2"/>
  <c r="AS66" i="2"/>
  <c r="DB95" i="2"/>
  <c r="DB104" i="2"/>
  <c r="AS86" i="2"/>
  <c r="DB129" i="2"/>
  <c r="DB92" i="2"/>
  <c r="DB96" i="2"/>
  <c r="DB80" i="2"/>
  <c r="DB118" i="2"/>
  <c r="DB85" i="2"/>
  <c r="DB115" i="2"/>
  <c r="DB70" i="2"/>
  <c r="DB108" i="2"/>
  <c r="DB78" i="2"/>
  <c r="DB99" i="2"/>
  <c r="DB103" i="2"/>
  <c r="AS73" i="2"/>
  <c r="AW73" i="2" s="1"/>
  <c r="AS82" i="2"/>
  <c r="AS83" i="2" s="1"/>
  <c r="AW83" i="2" s="1"/>
  <c r="DB93" i="2"/>
  <c r="DB66" i="2"/>
  <c r="DB60" i="2"/>
  <c r="AS87" i="2"/>
  <c r="AS88" i="2" s="1"/>
  <c r="AW88" i="2" s="1"/>
  <c r="AS67" i="2"/>
  <c r="AS68" i="2" s="1"/>
  <c r="AW68" i="2" s="1"/>
  <c r="AS77" i="2"/>
  <c r="AS78" i="2" s="1"/>
  <c r="AW78" i="2" s="1"/>
  <c r="AS93" i="2"/>
  <c r="AS62" i="2"/>
  <c r="AS103" i="2"/>
  <c r="AS98" i="2"/>
  <c r="DB61" i="2"/>
  <c r="DB62" i="2"/>
  <c r="DB63" i="2"/>
  <c r="DB65" i="2"/>
  <c r="DB59" i="2"/>
  <c r="DB91" i="2"/>
  <c r="Q30" i="1"/>
  <c r="CE168" i="2"/>
  <c r="BO150" i="2"/>
  <c r="BT149" i="2"/>
  <c r="AQ441" i="2"/>
  <c r="AQ442" i="2" s="1"/>
  <c r="AG459" i="2"/>
  <c r="AH459" i="2"/>
  <c r="AH457" i="2"/>
  <c r="AG457" i="2"/>
  <c r="AM547" i="2"/>
  <c r="AM553" i="2" s="1"/>
  <c r="AS546" i="2"/>
  <c r="BH170" i="2"/>
  <c r="BM169" i="2"/>
  <c r="AM442" i="2"/>
  <c r="AN442" i="2" s="1"/>
  <c r="CC170" i="2"/>
  <c r="BD171" i="2"/>
  <c r="BT169" i="2"/>
  <c r="BO170" i="2"/>
  <c r="AG133" i="2"/>
  <c r="AG138" i="2" s="1"/>
  <c r="AG139" i="2" s="1"/>
  <c r="AG136" i="2"/>
  <c r="AG134" i="2"/>
  <c r="AG135" i="2"/>
  <c r="AE133" i="2"/>
  <c r="AL125" i="2"/>
  <c r="BF169" i="2"/>
  <c r="BA170" i="2"/>
  <c r="CD169" i="2"/>
  <c r="BE170" i="2"/>
  <c r="O30" i="1"/>
  <c r="AF124" i="2"/>
  <c r="AE124" i="2" s="1"/>
  <c r="BE150" i="2"/>
  <c r="CD149" i="2"/>
  <c r="BM148" i="2"/>
  <c r="CE148" i="2" s="1"/>
  <c r="BH149" i="2"/>
  <c r="BD149" i="2"/>
  <c r="CC148" i="2"/>
  <c r="BA149" i="2"/>
  <c r="BF148" i="2"/>
  <c r="BP152" i="2"/>
  <c r="AM437" i="2"/>
  <c r="AN438" i="2"/>
  <c r="AN437" i="2"/>
  <c r="AN436" i="2"/>
  <c r="AS94" i="2" l="1"/>
  <c r="AW94" i="2" s="1"/>
  <c r="AS99" i="2"/>
  <c r="AW99" i="2" s="1"/>
  <c r="AS104" i="2"/>
  <c r="AW104" i="2" s="1"/>
  <c r="AS63" i="2"/>
  <c r="AW63" i="2" s="1"/>
  <c r="DC127" i="2"/>
  <c r="DC124" i="2"/>
  <c r="DC123" i="2"/>
  <c r="DC125" i="2"/>
  <c r="DC129" i="2"/>
  <c r="DC126" i="2"/>
  <c r="DC128" i="2"/>
  <c r="AN547" i="2"/>
  <c r="AN549" i="2" s="1"/>
  <c r="DC117" i="2"/>
  <c r="DC73" i="2"/>
  <c r="AM549" i="2"/>
  <c r="AQ550" i="2" s="1"/>
  <c r="DC109" i="2"/>
  <c r="DC97" i="2"/>
  <c r="DC69" i="2"/>
  <c r="DC65" i="2"/>
  <c r="DC108" i="2"/>
  <c r="DC105" i="2"/>
  <c r="DC84" i="2"/>
  <c r="DC61" i="2"/>
  <c r="DC77" i="2"/>
  <c r="DC106" i="2"/>
  <c r="DC100" i="2"/>
  <c r="DC76" i="2"/>
  <c r="AX55" i="2"/>
  <c r="BC52" i="2" s="1"/>
  <c r="BC56" i="2" s="1"/>
  <c r="DC86" i="2"/>
  <c r="DC85" i="2"/>
  <c r="DC80" i="2"/>
  <c r="DC64" i="2"/>
  <c r="DC68" i="2"/>
  <c r="DC59" i="2"/>
  <c r="DC60" i="2"/>
  <c r="DC110" i="2"/>
  <c r="DC113" i="2"/>
  <c r="DC92" i="2"/>
  <c r="DC103" i="2"/>
  <c r="DC52" i="2"/>
  <c r="DC54" i="2" s="1"/>
  <c r="DC74" i="2"/>
  <c r="DC96" i="2"/>
  <c r="DC70" i="2"/>
  <c r="DC107" i="2"/>
  <c r="DC82" i="2"/>
  <c r="DC116" i="2"/>
  <c r="DC63" i="2"/>
  <c r="DC102" i="2"/>
  <c r="DC67" i="2"/>
  <c r="DC79" i="2"/>
  <c r="DC111" i="2"/>
  <c r="DC62" i="2"/>
  <c r="DC75" i="2"/>
  <c r="DC115" i="2"/>
  <c r="DC66" i="2"/>
  <c r="DC78" i="2"/>
  <c r="DC91" i="2"/>
  <c r="AX56" i="2"/>
  <c r="BE52" i="2" s="1"/>
  <c r="BE56" i="2" s="1"/>
  <c r="DC95" i="2"/>
  <c r="DC93" i="2"/>
  <c r="DC104" i="2"/>
  <c r="DC112" i="2"/>
  <c r="DC114" i="2"/>
  <c r="DC99" i="2"/>
  <c r="DC98" i="2"/>
  <c r="O19" i="1"/>
  <c r="DC81" i="2"/>
  <c r="DC72" i="2"/>
  <c r="DC83" i="2"/>
  <c r="DC101" i="2"/>
  <c r="DC94" i="2"/>
  <c r="DC71" i="2"/>
  <c r="DC118" i="2"/>
  <c r="AM438" i="2"/>
  <c r="AL437" i="2" s="1"/>
  <c r="BO151" i="2"/>
  <c r="BT150" i="2"/>
  <c r="CE169" i="2"/>
  <c r="AR550" i="2"/>
  <c r="AR549" i="2"/>
  <c r="BH171" i="2"/>
  <c r="BM170" i="2"/>
  <c r="AR437" i="2"/>
  <c r="AR436" i="2"/>
  <c r="AR438" i="2"/>
  <c r="AB135" i="2"/>
  <c r="AB136" i="2" s="1"/>
  <c r="AB137" i="2" s="1"/>
  <c r="K3" i="1" s="1"/>
  <c r="CD170" i="2"/>
  <c r="BE171" i="2"/>
  <c r="BA171" i="2"/>
  <c r="BF170" i="2"/>
  <c r="BT170" i="2"/>
  <c r="BO171" i="2"/>
  <c r="CC171" i="2"/>
  <c r="BD172" i="2"/>
  <c r="BP153" i="2"/>
  <c r="BA150" i="2"/>
  <c r="BF149" i="2"/>
  <c r="CC149" i="2"/>
  <c r="BD150" i="2"/>
  <c r="BE151" i="2"/>
  <c r="CD150" i="2"/>
  <c r="BM149" i="2"/>
  <c r="CE149" i="2" s="1"/>
  <c r="BH150" i="2"/>
  <c r="AF134" i="2"/>
  <c r="AF136" i="2"/>
  <c r="AF135" i="2"/>
  <c r="AL124" i="2"/>
  <c r="AL126" i="2" s="1"/>
  <c r="AF133" i="2"/>
  <c r="AD133" i="2"/>
  <c r="AX52" i="2" l="1"/>
  <c r="AX53" i="2" s="1"/>
  <c r="AQ549" i="2"/>
  <c r="AQ553" i="2" s="1"/>
  <c r="AX57" i="2"/>
  <c r="BG52" i="2" s="1"/>
  <c r="BG56" i="2" s="1"/>
  <c r="CE170" i="2"/>
  <c r="BO152" i="2"/>
  <c r="BT151" i="2"/>
  <c r="AS438" i="2"/>
  <c r="AT437" i="2" s="1"/>
  <c r="BM171" i="2"/>
  <c r="BH172" i="2"/>
  <c r="AR553" i="2"/>
  <c r="BD173" i="2"/>
  <c r="CC172" i="2"/>
  <c r="BT171" i="2"/>
  <c r="CE171" i="2" s="1"/>
  <c r="BO172" i="2"/>
  <c r="CD171" i="2"/>
  <c r="BE172" i="2"/>
  <c r="BA172" i="2"/>
  <c r="BF171" i="2"/>
  <c r="AL128" i="2"/>
  <c r="AL129" i="2"/>
  <c r="AL127" i="2"/>
  <c r="BM150" i="2"/>
  <c r="CE150" i="2" s="1"/>
  <c r="BH151" i="2"/>
  <c r="CC150" i="2"/>
  <c r="BD151" i="2"/>
  <c r="AF138" i="2"/>
  <c r="BE152" i="2"/>
  <c r="CD151" i="2"/>
  <c r="BF150" i="2"/>
  <c r="BA151" i="2"/>
  <c r="BP154" i="2"/>
  <c r="AM443" i="2"/>
  <c r="AN443" i="2" s="1"/>
  <c r="AN445" i="2"/>
  <c r="AZ430" i="2" s="1"/>
  <c r="BO153" i="2" l="1"/>
  <c r="BT152" i="2"/>
  <c r="BH173" i="2"/>
  <c r="BM172" i="2"/>
  <c r="AQ443" i="2"/>
  <c r="AQ445" i="2"/>
  <c r="BF430" i="2" s="1"/>
  <c r="BH449" i="2" s="1"/>
  <c r="BK481" i="2" s="1"/>
  <c r="BE173" i="2"/>
  <c r="CD172" i="2"/>
  <c r="BT172" i="2"/>
  <c r="CE172" i="2" s="1"/>
  <c r="BO173" i="2"/>
  <c r="BF172" i="2"/>
  <c r="BA173" i="2"/>
  <c r="CC173" i="2"/>
  <c r="BD174" i="2"/>
  <c r="CD152" i="2"/>
  <c r="BE153" i="2"/>
  <c r="AF139" i="2"/>
  <c r="AA135" i="2"/>
  <c r="AA136" i="2" s="1"/>
  <c r="BA152" i="2"/>
  <c r="BF151" i="2"/>
  <c r="BD152" i="2"/>
  <c r="CC151" i="2"/>
  <c r="BH152" i="2"/>
  <c r="BM151" i="2"/>
  <c r="CE151" i="2" s="1"/>
  <c r="BH439" i="2"/>
  <c r="BK471" i="2" s="1"/>
  <c r="BH453" i="2"/>
  <c r="BK485" i="2" s="1"/>
  <c r="BB456" i="2"/>
  <c r="BK452" i="2" s="1"/>
  <c r="BH452" i="2"/>
  <c r="BK484" i="2" s="1"/>
  <c r="BE438" i="2"/>
  <c r="BK462" i="2" s="1"/>
  <c r="BH445" i="2"/>
  <c r="BK477" i="2" s="1"/>
  <c r="BB448" i="2"/>
  <c r="BK444" i="2" s="1"/>
  <c r="BB446" i="2"/>
  <c r="BK442" i="2" s="1"/>
  <c r="BB455" i="2" l="1"/>
  <c r="BK451" i="2" s="1"/>
  <c r="BH457" i="2"/>
  <c r="BK489" i="2" s="1"/>
  <c r="BB449" i="2"/>
  <c r="BK445" i="2" s="1"/>
  <c r="BH458" i="2"/>
  <c r="BK490" i="2" s="1"/>
  <c r="BB447" i="2"/>
  <c r="BH442" i="2"/>
  <c r="BK474" i="2" s="1"/>
  <c r="BH441" i="2"/>
  <c r="BK473" i="2" s="1"/>
  <c r="BB437" i="2"/>
  <c r="BH450" i="2"/>
  <c r="BK482" i="2" s="1"/>
  <c r="BB445" i="2"/>
  <c r="BK441" i="2" s="1"/>
  <c r="BB436" i="2"/>
  <c r="BK432" i="2" s="1"/>
  <c r="BB434" i="2"/>
  <c r="BK430" i="2" s="1"/>
  <c r="BH438" i="2"/>
  <c r="BK470" i="2" s="1"/>
  <c r="BH461" i="2"/>
  <c r="BK493" i="2" s="1"/>
  <c r="BH436" i="2"/>
  <c r="BK468" i="2" s="1"/>
  <c r="BB442" i="2"/>
  <c r="BK438" i="2" s="1"/>
  <c r="BH454" i="2"/>
  <c r="BK486" i="2" s="1"/>
  <c r="BB459" i="2"/>
  <c r="BK455" i="2" s="1"/>
  <c r="BB435" i="2"/>
  <c r="BH443" i="2"/>
  <c r="BK475" i="2" s="1"/>
  <c r="BH434" i="2"/>
  <c r="BR449" i="2" s="1"/>
  <c r="BS449" i="2" s="1"/>
  <c r="BH451" i="2"/>
  <c r="BK483" i="2" s="1"/>
  <c r="BE439" i="2"/>
  <c r="BK463" i="2" s="1"/>
  <c r="BH459" i="2"/>
  <c r="BK491" i="2" s="1"/>
  <c r="BB461" i="2"/>
  <c r="BK457" i="2" s="1"/>
  <c r="BH446" i="2"/>
  <c r="BK478" i="2" s="1"/>
  <c r="BE435" i="2"/>
  <c r="BK459" i="2" s="1"/>
  <c r="BE437" i="2"/>
  <c r="BK461" i="2" s="1"/>
  <c r="BB444" i="2"/>
  <c r="BK440" i="2" s="1"/>
  <c r="BH435" i="2"/>
  <c r="BK467" i="2" s="1"/>
  <c r="BH455" i="2"/>
  <c r="BK487" i="2" s="1"/>
  <c r="BE440" i="2"/>
  <c r="BK464" i="2" s="1"/>
  <c r="BH448" i="2"/>
  <c r="BK480" i="2" s="1"/>
  <c r="BB454" i="2"/>
  <c r="BK450" i="2" s="1"/>
  <c r="BH460" i="2"/>
  <c r="BK492" i="2" s="1"/>
  <c r="BB443" i="2"/>
  <c r="BK439" i="2" s="1"/>
  <c r="BB453" i="2"/>
  <c r="BK449" i="2" s="1"/>
  <c r="BH437" i="2"/>
  <c r="BK469" i="2" s="1"/>
  <c r="BB450" i="2"/>
  <c r="BK446" i="2" s="1"/>
  <c r="BB441" i="2"/>
  <c r="BK437" i="2" s="1"/>
  <c r="BO154" i="2"/>
  <c r="BT154" i="2" s="1"/>
  <c r="BT153" i="2"/>
  <c r="BE436" i="2"/>
  <c r="BH447" i="2"/>
  <c r="BK479" i="2" s="1"/>
  <c r="BB438" i="2"/>
  <c r="BK434" i="2" s="1"/>
  <c r="BB452" i="2"/>
  <c r="BK448" i="2" s="1"/>
  <c r="BE441" i="2"/>
  <c r="BK465" i="2" s="1"/>
  <c r="BE434" i="2"/>
  <c r="BB458" i="2"/>
  <c r="BK454" i="2" s="1"/>
  <c r="BB440" i="2"/>
  <c r="BK436" i="2" s="1"/>
  <c r="BB460" i="2"/>
  <c r="BK456" i="2" s="1"/>
  <c r="BH444" i="2"/>
  <c r="BK476" i="2" s="1"/>
  <c r="BH440" i="2"/>
  <c r="BK472" i="2" s="1"/>
  <c r="BB451" i="2"/>
  <c r="BK447" i="2" s="1"/>
  <c r="BH456" i="2"/>
  <c r="BK488" i="2" s="1"/>
  <c r="BB439" i="2"/>
  <c r="BK435" i="2" s="1"/>
  <c r="BB457" i="2"/>
  <c r="BK453" i="2" s="1"/>
  <c r="BH174" i="2"/>
  <c r="BM173" i="2"/>
  <c r="CC174" i="2"/>
  <c r="BD175" i="2"/>
  <c r="CC175" i="2" s="1"/>
  <c r="BF173" i="2"/>
  <c r="BA174" i="2"/>
  <c r="BT173" i="2"/>
  <c r="CE173" i="2" s="1"/>
  <c r="BO174" i="2"/>
  <c r="CD173" i="2"/>
  <c r="BE174" i="2"/>
  <c r="AA137" i="2"/>
  <c r="H3" i="1" s="1"/>
  <c r="CD153" i="2"/>
  <c r="BE154" i="2"/>
  <c r="CD154" i="2" s="1"/>
  <c r="BM152" i="2"/>
  <c r="CE152" i="2" s="1"/>
  <c r="BH153" i="2"/>
  <c r="BD153" i="2"/>
  <c r="CC152" i="2"/>
  <c r="BF152" i="2"/>
  <c r="BA153" i="2"/>
  <c r="BK443" i="2"/>
  <c r="BK433" i="2"/>
  <c r="BR447" i="2" l="1"/>
  <c r="BS447" i="2" s="1"/>
  <c r="BR450" i="2"/>
  <c r="BS450" i="2" s="1"/>
  <c r="BK431" i="2"/>
  <c r="BO437" i="2"/>
  <c r="BP437" i="2" s="1"/>
  <c r="BK466" i="2"/>
  <c r="BO446" i="2"/>
  <c r="BR446" i="2" s="1"/>
  <c r="BS446" i="2" s="1"/>
  <c r="BR448" i="2"/>
  <c r="BS448" i="2" s="1"/>
  <c r="BK458" i="2"/>
  <c r="BO443" i="2"/>
  <c r="BP443" i="2" s="1"/>
  <c r="BC442" i="2"/>
  <c r="AZ462" i="2"/>
  <c r="BC471" i="2" s="1"/>
  <c r="BO430" i="2"/>
  <c r="BP430" i="2" s="1"/>
  <c r="BO435" i="2"/>
  <c r="BP435" i="2" s="1"/>
  <c r="BR451" i="2"/>
  <c r="BS451" i="2" s="1"/>
  <c r="BR452" i="2"/>
  <c r="BS452" i="2" s="1"/>
  <c r="BO441" i="2"/>
  <c r="BP441" i="2" s="1"/>
  <c r="BO440" i="2"/>
  <c r="BP440" i="2" s="1"/>
  <c r="AN447" i="2"/>
  <c r="AO447" i="2" s="1"/>
  <c r="BO436" i="2"/>
  <c r="BP436" i="2" s="1"/>
  <c r="BO452" i="2"/>
  <c r="BP452" i="2" s="1"/>
  <c r="BO439" i="2"/>
  <c r="BP439" i="2" s="1"/>
  <c r="BO451" i="2"/>
  <c r="BP451" i="2" s="1"/>
  <c r="BO433" i="2"/>
  <c r="BP433" i="2" s="1"/>
  <c r="BO449" i="2"/>
  <c r="BP449" i="2" s="1"/>
  <c r="AN448" i="2"/>
  <c r="AO448" i="2" s="1"/>
  <c r="BK460" i="2"/>
  <c r="BC469" i="2" s="1"/>
  <c r="BE469" i="2" s="1"/>
  <c r="BG477" i="2"/>
  <c r="BO442" i="2"/>
  <c r="BP442" i="2" s="1"/>
  <c r="BF462" i="2"/>
  <c r="BI462" i="2" s="1"/>
  <c r="BO448" i="2"/>
  <c r="BP448" i="2" s="1"/>
  <c r="BO431" i="2"/>
  <c r="BP431" i="2" s="1"/>
  <c r="BE477" i="2"/>
  <c r="BE478" i="2" s="1"/>
  <c r="BA477" i="2"/>
  <c r="BO450" i="2"/>
  <c r="BP450" i="2" s="1"/>
  <c r="BF464" i="2"/>
  <c r="BO432" i="2"/>
  <c r="BP432" i="2" s="1"/>
  <c r="BO445" i="2"/>
  <c r="BR445" i="2" s="1"/>
  <c r="BS445" i="2" s="1"/>
  <c r="AY477" i="2"/>
  <c r="BO447" i="2"/>
  <c r="BP447" i="2" s="1"/>
  <c r="BB464" i="2"/>
  <c r="BO434" i="2"/>
  <c r="BP434" i="2" s="1"/>
  <c r="BO438" i="2"/>
  <c r="BP438" i="2" s="1"/>
  <c r="BM174" i="2"/>
  <c r="BH175" i="2"/>
  <c r="BM175" i="2" s="1"/>
  <c r="AN450" i="2"/>
  <c r="AO450" i="2" s="1"/>
  <c r="AN449" i="2"/>
  <c r="AQ449" i="2" s="1"/>
  <c r="AR535" i="2" s="1"/>
  <c r="AQ535" i="2" s="1"/>
  <c r="BO444" i="2"/>
  <c r="BR444" i="2" s="1"/>
  <c r="BS444" i="2" s="1"/>
  <c r="CD174" i="2"/>
  <c r="BE175" i="2"/>
  <c r="CD175" i="2" s="1"/>
  <c r="BT174" i="2"/>
  <c r="BO175" i="2"/>
  <c r="BT175" i="2" s="1"/>
  <c r="BA175" i="2"/>
  <c r="BF175" i="2" s="1"/>
  <c r="BF174" i="2"/>
  <c r="BA154" i="2"/>
  <c r="BF154" i="2" s="1"/>
  <c r="BF153" i="2"/>
  <c r="BH154" i="2"/>
  <c r="BM154" i="2" s="1"/>
  <c r="CE154" i="2" s="1"/>
  <c r="BM153" i="2"/>
  <c r="CE153" i="2" s="1"/>
  <c r="CC153" i="2"/>
  <c r="BD154" i="2"/>
  <c r="CC154" i="2" s="1"/>
  <c r="AQ448" i="2"/>
  <c r="AR533" i="2" s="1"/>
  <c r="AQ533" i="2" s="1"/>
  <c r="BC444" i="2"/>
  <c r="BC467" i="2"/>
  <c r="BE467" i="2" s="1"/>
  <c r="BR443" i="2" l="1"/>
  <c r="BS443" i="2" s="1"/>
  <c r="BC468" i="2"/>
  <c r="BE468" i="2" s="1"/>
  <c r="BF468" i="2" s="1"/>
  <c r="CE175" i="2"/>
  <c r="CE174" i="2"/>
  <c r="BR440" i="2"/>
  <c r="BS440" i="2" s="1"/>
  <c r="BC462" i="2"/>
  <c r="BP446" i="2"/>
  <c r="BP445" i="2"/>
  <c r="BR441" i="2"/>
  <c r="BS441" i="2" s="1"/>
  <c r="AM533" i="2"/>
  <c r="AO533" i="2" s="1"/>
  <c r="AP533" i="2" s="1"/>
  <c r="AQ447" i="2"/>
  <c r="AR447" i="2" s="1"/>
  <c r="AS447" i="2" s="1"/>
  <c r="AY478" i="2"/>
  <c r="AQ450" i="2"/>
  <c r="AR537" i="2" s="1"/>
  <c r="AQ537" i="2" s="1"/>
  <c r="BR442" i="2"/>
  <c r="BS442" i="2" s="1"/>
  <c r="BC470" i="2"/>
  <c r="BE470" i="2" s="1"/>
  <c r="AM537" i="2"/>
  <c r="AO537" i="2" s="1"/>
  <c r="AO449" i="2"/>
  <c r="BC473" i="2"/>
  <c r="BC472" i="2"/>
  <c r="AM535" i="2"/>
  <c r="AO535" i="2" s="1"/>
  <c r="AP535" i="2" s="1"/>
  <c r="AR448" i="2"/>
  <c r="AS448" i="2" s="1"/>
  <c r="BP444" i="2"/>
  <c r="AR449" i="2"/>
  <c r="AS449" i="2" s="1"/>
  <c r="BG467" i="2"/>
  <c r="BF467" i="2"/>
  <c r="BG469" i="2"/>
  <c r="BF469" i="2"/>
  <c r="BG468" i="2" l="1"/>
  <c r="AP537" i="2"/>
  <c r="BE471" i="2"/>
  <c r="BF471" i="2" s="1"/>
  <c r="AR450" i="2"/>
  <c r="AS450" i="2" s="1"/>
  <c r="BH469" i="2"/>
  <c r="BH467" i="2"/>
  <c r="BH468" i="2"/>
</calcChain>
</file>

<file path=xl/sharedStrings.xml><?xml version="1.0" encoding="utf-8"?>
<sst xmlns="http://schemas.openxmlformats.org/spreadsheetml/2006/main" count="560" uniqueCount="289">
  <si>
    <t>1 : 1</t>
  </si>
  <si>
    <t>0 : 0</t>
  </si>
  <si>
    <t>1 : 0</t>
  </si>
  <si>
    <t>2 : 2</t>
  </si>
  <si>
    <t>Команда1</t>
  </si>
  <si>
    <t>Команда2</t>
  </si>
  <si>
    <t>Голы1</t>
  </si>
  <si>
    <t>Голы2</t>
  </si>
  <si>
    <t>Где играла</t>
  </si>
  <si>
    <t>Результат</t>
  </si>
  <si>
    <t>Забито</t>
  </si>
  <si>
    <t>Проп</t>
  </si>
  <si>
    <t>В</t>
  </si>
  <si>
    <t>П</t>
  </si>
  <si>
    <t>ТБ 2,5</t>
  </si>
  <si>
    <t>MONDO</t>
  </si>
  <si>
    <t>RISULTATO ESATTO CAMPIONATO</t>
  </si>
  <si>
    <t>X</t>
  </si>
  <si>
    <t>CAMPIONATO</t>
  </si>
  <si>
    <t>TOTALE</t>
  </si>
  <si>
    <t>CASA</t>
  </si>
  <si>
    <t>FUORI</t>
  </si>
  <si>
    <t>COEFFICIENTE FORMA</t>
  </si>
  <si>
    <t>Media gol fatti da squadra in casa</t>
  </si>
  <si>
    <t>PROBABILITA' UNDER</t>
  </si>
  <si>
    <t>PA</t>
  </si>
  <si>
    <t>V</t>
  </si>
  <si>
    <t>N</t>
  </si>
  <si>
    <t>P</t>
  </si>
  <si>
    <t>GF</t>
  </si>
  <si>
    <t>GS</t>
  </si>
  <si>
    <t>DR</t>
  </si>
  <si>
    <t>Pti</t>
  </si>
  <si>
    <t>µ GS</t>
  </si>
  <si>
    <t>µ GF</t>
  </si>
  <si>
    <t>UNDER</t>
  </si>
  <si>
    <t>Media gol subiti da squadra in trasferta</t>
  </si>
  <si>
    <t>PROBABILITA' OVER</t>
  </si>
  <si>
    <t>Media gol fatti da squadra in trasferta</t>
  </si>
  <si>
    <t xml:space="preserve">                                                                                                                                                                                                              </t>
  </si>
  <si>
    <t>OVER</t>
  </si>
  <si>
    <t xml:space="preserve">                                                                                                                                                                  </t>
  </si>
  <si>
    <t>Media gol subiti da squadra in casa</t>
  </si>
  <si>
    <t>PROBABILITA' 1</t>
  </si>
  <si>
    <t>PROBABILITA' X</t>
  </si>
  <si>
    <t>UNDER/OVER 2,5</t>
  </si>
  <si>
    <t>Media Gol squadra in casa</t>
  </si>
  <si>
    <t>PROBABILITA' 2</t>
  </si>
  <si>
    <t xml:space="preserve">                                                                                                                                      </t>
  </si>
  <si>
    <t>VITTORIA SQUADRA IN CASA</t>
  </si>
  <si>
    <t>ТМ 2,5</t>
  </si>
  <si>
    <t>R1</t>
  </si>
  <si>
    <t>R2</t>
  </si>
  <si>
    <t>R3</t>
  </si>
  <si>
    <t>R4</t>
  </si>
  <si>
    <t>R5</t>
  </si>
  <si>
    <t>Media Gol squadra in trasferta</t>
  </si>
  <si>
    <t>Casa</t>
  </si>
  <si>
    <t>Trasferta</t>
  </si>
  <si>
    <t>P(H)</t>
  </si>
  <si>
    <t>P(A)</t>
  </si>
  <si>
    <t>P(e)</t>
  </si>
  <si>
    <t>MEDIA CASA</t>
  </si>
  <si>
    <t xml:space="preserve"> </t>
  </si>
  <si>
    <t>%</t>
  </si>
  <si>
    <t>Punteggio squadra in casa</t>
  </si>
  <si>
    <t>Punteggio squadra in trasferta</t>
  </si>
  <si>
    <t>Probabilità punteggio finale</t>
  </si>
  <si>
    <t>INSERISCI QUI I VALORI/INSERT VALUES</t>
  </si>
  <si>
    <t>MEDIA TRASFERTA</t>
  </si>
  <si>
    <t>Gol Fatti</t>
  </si>
  <si>
    <t>Gol Subiti</t>
  </si>
  <si>
    <t>Forma</t>
  </si>
  <si>
    <t>Nazione</t>
  </si>
  <si>
    <t>количество забитых мячей в последних 5 домашних матчах (стрелка 3)</t>
  </si>
  <si>
    <t>количество пропущенных мячей в последних 5 домашних матчах (стрелка 4)</t>
  </si>
  <si>
    <t xml:space="preserve">коэффициент формы (стрелка 5). </t>
  </si>
  <si>
    <t>R6</t>
  </si>
  <si>
    <t>R7</t>
  </si>
  <si>
    <t>R8</t>
  </si>
  <si>
    <t>R9</t>
  </si>
  <si>
    <t>R10</t>
  </si>
  <si>
    <t>победа</t>
  </si>
  <si>
    <t>ничья</t>
  </si>
  <si>
    <t>поражение</t>
  </si>
  <si>
    <t>R11</t>
  </si>
  <si>
    <t>R12</t>
  </si>
  <si>
    <t>Последние игры: САЙПА</t>
  </si>
  <si>
    <t>Последние игры: ФУЛАД</t>
  </si>
  <si>
    <t>R13</t>
  </si>
  <si>
    <t>ПЛ</t>
  </si>
  <si>
    <t>Сайпа</t>
  </si>
  <si>
    <t>Фулад</t>
  </si>
  <si>
    <t>R14</t>
  </si>
  <si>
    <t>Мастерская</t>
  </si>
  <si>
    <t>Сепахан</t>
  </si>
  <si>
    <t>HC</t>
  </si>
  <si>
    <t>Фулад Язд</t>
  </si>
  <si>
    <t>1 : 2</t>
  </si>
  <si>
    <t>П2</t>
  </si>
  <si>
    <t>Х</t>
  </si>
  <si>
    <t>П1</t>
  </si>
  <si>
    <t>Трактор-Сази</t>
  </si>
  <si>
    <t>Гостареш</t>
  </si>
  <si>
    <t>1к</t>
  </si>
  <si>
    <t>Падидех Хорасан</t>
  </si>
  <si>
    <t>Машад ФК</t>
  </si>
  <si>
    <t>2к</t>
  </si>
  <si>
    <t>VITTORIA SQUADRA IN TRASFERTA</t>
  </si>
  <si>
    <t>ТС №1</t>
  </si>
  <si>
    <t>ТС №2</t>
  </si>
  <si>
    <t>Н</t>
  </si>
  <si>
    <t>Тотал Altadar Magic</t>
  </si>
  <si>
    <t>Г 1к</t>
  </si>
  <si>
    <t>Г 2к</t>
  </si>
  <si>
    <t>З 1к</t>
  </si>
  <si>
    <t>П 1к</t>
  </si>
  <si>
    <t>З 2к</t>
  </si>
  <si>
    <t>П 2к</t>
  </si>
  <si>
    <t>З 1кд</t>
  </si>
  <si>
    <t>П 1кд</t>
  </si>
  <si>
    <t>З 2кг</t>
  </si>
  <si>
    <t>П 2кг</t>
  </si>
  <si>
    <t>ИТМ1</t>
  </si>
  <si>
    <t>ИТМ2</t>
  </si>
  <si>
    <t>Для 2 исходов</t>
  </si>
  <si>
    <t>PAREGGIO</t>
  </si>
  <si>
    <t>2.5</t>
  </si>
  <si>
    <t xml:space="preserve">ИТБ 1 ( </t>
  </si>
  <si>
    <t xml:space="preserve"> )</t>
  </si>
  <si>
    <t xml:space="preserve">ИТБ 2 ( </t>
  </si>
  <si>
    <t>Всего</t>
  </si>
  <si>
    <t>Дома</t>
  </si>
  <si>
    <t>В гостях</t>
  </si>
  <si>
    <t>Забивают дома</t>
  </si>
  <si>
    <t>Забивают в гостях</t>
  </si>
  <si>
    <t>Команда-</t>
  </si>
  <si>
    <t>Пропущено</t>
  </si>
  <si>
    <t>Игр</t>
  </si>
  <si>
    <t>Очки</t>
  </si>
  <si>
    <t>3+</t>
  </si>
  <si>
    <t>Забивают</t>
  </si>
  <si>
    <t>Пропускают</t>
  </si>
  <si>
    <t>Рейтинг</t>
  </si>
  <si>
    <t>Серия</t>
  </si>
  <si>
    <t>Тотал</t>
  </si>
  <si>
    <t>забито</t>
  </si>
  <si>
    <t>пропущенно</t>
  </si>
  <si>
    <t>дома</t>
  </si>
  <si>
    <t>гости</t>
  </si>
  <si>
    <t>Забив</t>
  </si>
  <si>
    <t>2,5 ТБ</t>
  </si>
  <si>
    <t>2,5 ТМ</t>
  </si>
  <si>
    <t>ТБ</t>
  </si>
  <si>
    <t>ТМ</t>
  </si>
  <si>
    <t xml:space="preserve">ТМ </t>
  </si>
  <si>
    <t xml:space="preserve">ТБ </t>
  </si>
  <si>
    <t>1.9</t>
  </si>
  <si>
    <t>Football  Analytics</t>
  </si>
  <si>
    <t>Total</t>
  </si>
  <si>
    <t>хозяева</t>
  </si>
  <si>
    <t>x</t>
  </si>
  <si>
    <t>A.U.Q   -    HOME</t>
  </si>
  <si>
    <t>A.U.Q   -    AWAY</t>
  </si>
  <si>
    <t>" Score - 1 "</t>
  </si>
  <si>
    <t>" Score - 2 "</t>
  </si>
  <si>
    <t>" Score - 3 "</t>
  </si>
  <si>
    <t>1X</t>
  </si>
  <si>
    <t>X2</t>
  </si>
  <si>
    <t>DG1</t>
  </si>
  <si>
    <t>DG2</t>
  </si>
  <si>
    <t>YES</t>
  </si>
  <si>
    <t>NO</t>
  </si>
  <si>
    <t>OVER 0.5</t>
  </si>
  <si>
    <t>UNDER 1.5</t>
  </si>
  <si>
    <t>OVER 1.5</t>
  </si>
  <si>
    <t>UNDER 2.5</t>
  </si>
  <si>
    <t>OVER 2.5</t>
  </si>
  <si>
    <t>UNDER 3.5</t>
  </si>
  <si>
    <t>Home</t>
  </si>
  <si>
    <t>Away</t>
  </si>
  <si>
    <t>1 - 0</t>
  </si>
  <si>
    <t>2 - 0</t>
  </si>
  <si>
    <t>3 - 0</t>
  </si>
  <si>
    <t>4 - 0</t>
  </si>
  <si>
    <t>5 - 0</t>
  </si>
  <si>
    <t>6 - 0</t>
  </si>
  <si>
    <t>7 - 0</t>
  </si>
  <si>
    <t>2 - 1</t>
  </si>
  <si>
    <t>3 - 1</t>
  </si>
  <si>
    <t>4 - 1</t>
  </si>
  <si>
    <t>5 - 1</t>
  </si>
  <si>
    <t>6 - 1</t>
  </si>
  <si>
    <t>7 - 1</t>
  </si>
  <si>
    <t>3 - 2</t>
  </si>
  <si>
    <t>4 - 2</t>
  </si>
  <si>
    <t>5 - 2</t>
  </si>
  <si>
    <t>6 - 2</t>
  </si>
  <si>
    <t>7 - 2</t>
  </si>
  <si>
    <t>4 - 3</t>
  </si>
  <si>
    <t>5 - 3</t>
  </si>
  <si>
    <t>6 - 3</t>
  </si>
  <si>
    <t>7 - 3</t>
  </si>
  <si>
    <t>5 - 4</t>
  </si>
  <si>
    <t>6 - 4</t>
  </si>
  <si>
    <t>7 - 4</t>
  </si>
  <si>
    <t>6 - 5</t>
  </si>
  <si>
    <t>7 - 5</t>
  </si>
  <si>
    <t>7 - 6</t>
  </si>
  <si>
    <t>0 - 0</t>
  </si>
  <si>
    <t>1 - 1</t>
  </si>
  <si>
    <t>2 - 2</t>
  </si>
  <si>
    <t>3 - 3</t>
  </si>
  <si>
    <t>4 - 4</t>
  </si>
  <si>
    <t>5 - 5</t>
  </si>
  <si>
    <t>6 - 6</t>
  </si>
  <si>
    <t>7 - 7</t>
  </si>
  <si>
    <t>0 - 1</t>
  </si>
  <si>
    <t>0 - 2</t>
  </si>
  <si>
    <t>1 - 2</t>
  </si>
  <si>
    <t>0 - 3</t>
  </si>
  <si>
    <t>1 - 3</t>
  </si>
  <si>
    <t>0 - 4</t>
  </si>
  <si>
    <t>0 - 5</t>
  </si>
  <si>
    <t>0 - 6</t>
  </si>
  <si>
    <t>0 - 7</t>
  </si>
  <si>
    <t>1 - 4</t>
  </si>
  <si>
    <t>1 - 5</t>
  </si>
  <si>
    <t>1 - 6</t>
  </si>
  <si>
    <t>1 - 7</t>
  </si>
  <si>
    <t>2 - 3</t>
  </si>
  <si>
    <t>2 - 4</t>
  </si>
  <si>
    <t>2 - 5</t>
  </si>
  <si>
    <t>2 - 6</t>
  </si>
  <si>
    <t>2 - 7</t>
  </si>
  <si>
    <t>3 - 4</t>
  </si>
  <si>
    <t>3 - 5</t>
  </si>
  <si>
    <t>3 - 6</t>
  </si>
  <si>
    <t>3 - 7</t>
  </si>
  <si>
    <t>4 - 5</t>
  </si>
  <si>
    <t>4 - 6</t>
  </si>
  <si>
    <t>4 - 7</t>
  </si>
  <si>
    <t>5 - 6</t>
  </si>
  <si>
    <t>5 - 7</t>
  </si>
  <si>
    <t>6 - 7</t>
  </si>
  <si>
    <t>СЧЕТ</t>
  </si>
  <si>
    <t>04.08.18</t>
  </si>
  <si>
    <t>2DIV</t>
  </si>
  <si>
    <t>09.06.18</t>
  </si>
  <si>
    <t>02.06.18</t>
  </si>
  <si>
    <t>26.05.18</t>
  </si>
  <si>
    <t>19.05.18</t>
  </si>
  <si>
    <t>16.05.18</t>
  </si>
  <si>
    <t>13.05.18</t>
  </si>
  <si>
    <t>10.05.18</t>
  </si>
  <si>
    <t>05.05.18</t>
  </si>
  <si>
    <t>28.04.18</t>
  </si>
  <si>
    <t>27.05.18</t>
  </si>
  <si>
    <r>
      <rPr>
        <b/>
        <sz val="8"/>
        <color theme="2" tint="-0.89999084444715716"/>
        <rFont val="Calibri"/>
        <family val="2"/>
      </rPr>
      <t>µ GF</t>
    </r>
  </si>
  <si>
    <t>BORDBET</t>
  </si>
  <si>
    <t>2.50</t>
  </si>
  <si>
    <t>3.50</t>
  </si>
  <si>
    <t>TB= OVER</t>
  </si>
  <si>
    <t>TM= UNDER</t>
  </si>
  <si>
    <t>Toplam GoL</t>
  </si>
  <si>
    <t>3.5</t>
  </si>
  <si>
    <t>оба забьют</t>
  </si>
  <si>
    <t>всего голов</t>
  </si>
  <si>
    <t>счет в матче</t>
  </si>
  <si>
    <t>процент победы</t>
  </si>
  <si>
    <t>CIS</t>
  </si>
  <si>
    <t>Каманда 1</t>
  </si>
  <si>
    <t>Команда 2</t>
  </si>
  <si>
    <t>MORENO</t>
  </si>
  <si>
    <t>ФУТБОЛ + ХОККЕЙ</t>
  </si>
  <si>
    <t>1:1</t>
  </si>
  <si>
    <t>2:0</t>
  </si>
  <si>
    <t xml:space="preserve">точный счет </t>
  </si>
  <si>
    <t>3:2</t>
  </si>
  <si>
    <t>2:2</t>
  </si>
  <si>
    <t>=AB73-AD73</t>
  </si>
  <si>
    <t>6:0</t>
  </si>
  <si>
    <t>1:4</t>
  </si>
  <si>
    <t>4:3</t>
  </si>
  <si>
    <t>4:1</t>
  </si>
  <si>
    <t>3:3</t>
  </si>
  <si>
    <t>2:3</t>
  </si>
  <si>
    <t>3:6</t>
  </si>
  <si>
    <t>5:5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</si>
</sst>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00000000000%"/>
    <numFmt numFmtId="166" formatCode="0;[Black]0"/>
    <numFmt numFmtId="167" formatCode="#,##0_ ;\-#,##0\ "/>
  </numFmts>
  <fonts count="5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8"/>
      <color rgb="FFFFFF00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b/>
      <sz val="12"/>
      <color rgb="FFFFFF00"/>
      <name val="Calibri"/>
      <family val="2"/>
      <charset val="204"/>
      <scheme val="minor"/>
    </font>
    <font>
      <sz val="10"/>
      <color rgb="FF000000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b/>
      <i/>
      <sz val="14"/>
      <color rgb="FFFFFF00"/>
      <name val="Calibri"/>
      <family val="2"/>
      <charset val="204"/>
      <scheme val="minor"/>
    </font>
    <font>
      <b/>
      <sz val="16"/>
      <color rgb="FFFFFF00"/>
      <name val="Calibri"/>
      <family val="2"/>
      <charset val="204"/>
    </font>
    <font>
      <b/>
      <sz val="16"/>
      <color rgb="FFFFFF00"/>
      <name val="Broadway"/>
      <family val="5"/>
    </font>
    <font>
      <sz val="10"/>
      <color rgb="FFFFFF00"/>
      <name val="Calibri"/>
      <family val="2"/>
      <charset val="204"/>
      <scheme val="minor"/>
    </font>
    <font>
      <sz val="8"/>
      <color theme="1" tint="0.249977111117893"/>
      <name val="Century"/>
      <family val="1"/>
      <charset val="204"/>
    </font>
    <font>
      <b/>
      <i/>
      <sz val="11"/>
      <color rgb="FFFFFF00"/>
      <name val="Calibri"/>
      <family val="2"/>
      <charset val="204"/>
      <scheme val="minor"/>
    </font>
    <font>
      <b/>
      <sz val="9"/>
      <color rgb="FFFFFF00"/>
      <name val="Calibri"/>
      <family val="2"/>
      <charset val="204"/>
      <scheme val="minor"/>
    </font>
    <font>
      <b/>
      <sz val="16"/>
      <color rgb="FFFFFF00"/>
      <name val="Arial Black"/>
      <family val="2"/>
      <charset val="204"/>
    </font>
    <font>
      <b/>
      <sz val="18"/>
      <color rgb="FFFFFF00"/>
      <name val="Century"/>
      <family val="1"/>
      <charset val="204"/>
    </font>
    <font>
      <b/>
      <sz val="16"/>
      <color rgb="FFFFFF00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b/>
      <sz val="28"/>
      <color rgb="FFFFFF00"/>
      <name val="Arial Black"/>
      <family val="2"/>
      <charset val="204"/>
    </font>
    <font>
      <sz val="8"/>
      <color theme="2" tint="-0.89999084444715716"/>
      <name val="Calibri"/>
      <family val="2"/>
      <charset val="204"/>
      <scheme val="minor"/>
    </font>
    <font>
      <sz val="72"/>
      <color theme="2" tint="-0.89999084444715716"/>
      <name val="Calibri"/>
      <family val="2"/>
      <charset val="204"/>
      <scheme val="minor"/>
    </font>
    <font>
      <sz val="11"/>
      <color theme="2" tint="-0.89999084444715716"/>
      <name val="Calibri"/>
      <family val="2"/>
      <charset val="204"/>
      <scheme val="minor"/>
    </font>
    <font>
      <b/>
      <sz val="8"/>
      <color theme="2" tint="-0.89999084444715716"/>
      <name val="Arial"/>
      <family val="2"/>
    </font>
    <font>
      <sz val="8"/>
      <color theme="2" tint="-0.89999084444715716"/>
      <name val="Calibri"/>
      <family val="2"/>
      <scheme val="minor"/>
    </font>
    <font>
      <sz val="8"/>
      <color theme="2" tint="-0.89999084444715716"/>
      <name val="Arial"/>
      <family val="2"/>
    </font>
    <font>
      <b/>
      <sz val="8"/>
      <color theme="2" tint="-0.89999084444715716"/>
      <name val="Calibri"/>
      <family val="2"/>
      <scheme val="minor"/>
    </font>
    <font>
      <b/>
      <sz val="8"/>
      <color theme="2" tint="-0.89999084444715716"/>
      <name val="Calibri"/>
      <family val="2"/>
    </font>
    <font>
      <b/>
      <sz val="8"/>
      <color theme="2" tint="-0.89999084444715716"/>
      <name val="Calibri"/>
      <family val="2"/>
      <charset val="204"/>
      <scheme val="minor"/>
    </font>
    <font>
      <b/>
      <sz val="8"/>
      <color theme="2" tint="-0.89999084444715716"/>
      <name val="Comic Sans MS"/>
      <family val="4"/>
      <charset val="204"/>
    </font>
    <font>
      <sz val="8"/>
      <color theme="2" tint="-0.89999084444715716"/>
      <name val="Arial"/>
      <family val="2"/>
      <charset val="204"/>
    </font>
    <font>
      <sz val="8"/>
      <color theme="2" tint="-0.89999084444715716"/>
      <name val="Arial Unicode MS"/>
      <family val="2"/>
    </font>
    <font>
      <sz val="8"/>
      <color theme="2" tint="-0.89999084444715716"/>
      <name val="Tahoma"/>
      <family val="2"/>
      <charset val="204"/>
    </font>
    <font>
      <b/>
      <sz val="8"/>
      <color theme="2" tint="-0.89999084444715716"/>
      <name val="Tahoma"/>
      <family val="2"/>
      <charset val="204"/>
    </font>
    <font>
      <sz val="8"/>
      <color theme="1" tint="0.249977111117893"/>
      <name val="Calibri"/>
      <family val="2"/>
      <charset val="204"/>
      <scheme val="minor"/>
    </font>
    <font>
      <sz val="11"/>
      <color theme="1"/>
      <name val="Algerian"/>
      <family val="5"/>
    </font>
    <font>
      <sz val="14"/>
      <color theme="1"/>
      <name val="Algerian"/>
      <family val="5"/>
    </font>
    <font>
      <sz val="11"/>
      <color theme="0"/>
      <name val="Calibri"/>
      <family val="2"/>
      <charset val="204"/>
      <scheme val="minor"/>
    </font>
    <font>
      <sz val="11"/>
      <color rgb="FF00FF00"/>
      <name val="Calibri"/>
      <family val="2"/>
      <charset val="204"/>
      <scheme val="minor"/>
    </font>
    <font>
      <sz val="8"/>
      <color rgb="FF00FF00"/>
      <name val="Calibri"/>
      <family val="2"/>
      <charset val="204"/>
      <scheme val="minor"/>
    </font>
    <font>
      <b/>
      <i/>
      <sz val="14"/>
      <color rgb="FF00FF00"/>
      <name val="Calibri"/>
      <family val="2"/>
      <charset val="204"/>
      <scheme val="minor"/>
    </font>
    <font>
      <b/>
      <sz val="28"/>
      <color rgb="FF00FF00"/>
      <name val="Arial Black"/>
      <family val="2"/>
      <charset val="204"/>
    </font>
    <font>
      <b/>
      <sz val="10"/>
      <color rgb="FF00FF00"/>
      <name val="Calibri"/>
      <family val="2"/>
      <charset val="204"/>
      <scheme val="minor"/>
    </font>
    <font>
      <u/>
      <sz val="11"/>
      <color rgb="FF00FF00"/>
      <name val="Calibri"/>
      <family val="2"/>
      <charset val="204"/>
      <scheme val="minor"/>
    </font>
    <font>
      <b/>
      <i/>
      <sz val="14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rgb="FF92D050"/>
      <name val="Century"/>
      <family val="1"/>
      <charset val="204"/>
    </font>
    <font>
      <b/>
      <sz val="12"/>
      <name val="Arial Unicode MS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  <fill>
      <gradientFill degree="90">
        <stop position="0">
          <color rgb="FF0000FF"/>
        </stop>
        <stop position="0.5">
          <color theme="4"/>
        </stop>
        <stop position="1">
          <color rgb="FF0000FF"/>
        </stop>
      </gradientFill>
    </fill>
    <fill>
      <patternFill patternType="solid">
        <fgColor theme="0"/>
        <bgColor indexed="64"/>
      </patternFill>
    </fill>
    <fill>
      <patternFill patternType="solid">
        <fgColor rgb="FF00B050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/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/>
      <right/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 style="medium">
        <color rgb="FFFFC000"/>
      </right>
      <top style="thin">
        <color rgb="FFFFC000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8" fillId="0" borderId="0"/>
  </cellStyleXfs>
  <cellXfs count="259">
    <xf numFmtId="0" fontId="0" fillId="0" borderId="0" xfId="0"/>
    <xf numFmtId="0" fontId="13" fillId="3" borderId="13" xfId="0" applyFont="1" applyFill="1" applyBorder="1" applyAlignment="1" applyProtection="1">
      <alignment horizontal="center" vertical="center"/>
      <protection hidden="1"/>
    </xf>
    <xf numFmtId="0" fontId="13" fillId="3" borderId="18" xfId="0" applyFont="1" applyFill="1" applyBorder="1" applyAlignment="1" applyProtection="1">
      <alignment horizontal="center" vertical="center"/>
      <protection hidden="1"/>
    </xf>
    <xf numFmtId="0" fontId="13" fillId="3" borderId="17" xfId="0" applyFont="1" applyFill="1" applyBorder="1" applyAlignment="1" applyProtection="1">
      <alignment horizontal="center" vertical="center"/>
      <protection hidden="1"/>
    </xf>
    <xf numFmtId="0" fontId="13" fillId="3" borderId="19" xfId="0" applyFont="1" applyFill="1" applyBorder="1" applyAlignment="1" applyProtection="1">
      <alignment horizontal="center" vertical="center"/>
      <protection hidden="1"/>
    </xf>
    <xf numFmtId="0" fontId="13" fillId="3" borderId="20" xfId="0" applyFont="1" applyFill="1" applyBorder="1" applyAlignment="1" applyProtection="1">
      <alignment horizontal="center" vertical="center"/>
      <protection hidden="1"/>
    </xf>
    <xf numFmtId="0" fontId="18" fillId="4" borderId="2" xfId="0" applyFont="1" applyFill="1" applyBorder="1" applyAlignment="1" applyProtection="1">
      <alignment horizontal="center" vertical="center"/>
      <protection locked="0"/>
    </xf>
    <xf numFmtId="49" fontId="4" fillId="4" borderId="2" xfId="0" applyNumberFormat="1" applyFont="1" applyFill="1" applyBorder="1" applyAlignment="1" applyProtection="1">
      <alignment horizontal="center" vertical="center"/>
      <protection locked="0"/>
    </xf>
    <xf numFmtId="49" fontId="4" fillId="4" borderId="21" xfId="0" applyNumberFormat="1" applyFont="1" applyFill="1" applyBorder="1" applyAlignment="1" applyProtection="1">
      <alignment horizontal="center" vertical="center"/>
      <protection locked="0"/>
    </xf>
    <xf numFmtId="0" fontId="15" fillId="4" borderId="2" xfId="0" applyFont="1" applyFill="1" applyBorder="1" applyAlignment="1" applyProtection="1">
      <alignment horizontal="center" vertical="center"/>
      <protection locked="0"/>
    </xf>
    <xf numFmtId="0" fontId="15" fillId="4" borderId="21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21" xfId="0" applyNumberFormat="1" applyFont="1" applyFill="1" applyBorder="1" applyAlignment="1" applyProtection="1">
      <alignment horizontal="center" vertical="center"/>
      <protection locked="0"/>
    </xf>
    <xf numFmtId="1" fontId="13" fillId="3" borderId="13" xfId="0" applyNumberFormat="1" applyFont="1" applyFill="1" applyBorder="1" applyAlignment="1" applyProtection="1">
      <alignment horizontal="center" vertical="center"/>
      <protection hidden="1"/>
    </xf>
    <xf numFmtId="9" fontId="6" fillId="4" borderId="4" xfId="0" applyNumberFormat="1" applyFont="1" applyFill="1" applyBorder="1" applyAlignment="1" applyProtection="1">
      <alignment horizontal="center" vertical="center"/>
      <protection hidden="1"/>
    </xf>
    <xf numFmtId="9" fontId="6" fillId="4" borderId="3" xfId="0" applyNumberFormat="1" applyFont="1" applyFill="1" applyBorder="1" applyAlignment="1" applyProtection="1">
      <alignment horizontal="center" vertical="center"/>
      <protection hidden="1"/>
    </xf>
    <xf numFmtId="9" fontId="22" fillId="4" borderId="14" xfId="0" applyNumberFormat="1" applyFont="1" applyFill="1" applyBorder="1" applyAlignment="1" applyProtection="1">
      <alignment horizontal="center" vertical="center"/>
      <protection hidden="1"/>
    </xf>
    <xf numFmtId="9" fontId="22" fillId="4" borderId="15" xfId="0" applyNumberFormat="1" applyFont="1" applyFill="1" applyBorder="1" applyAlignment="1" applyProtection="1">
      <alignment horizontal="center" vertical="center"/>
      <protection hidden="1"/>
    </xf>
    <xf numFmtId="9" fontId="22" fillId="4" borderId="16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/>
    <xf numFmtId="0" fontId="26" fillId="0" borderId="0" xfId="0" applyFont="1" applyAlignment="1"/>
    <xf numFmtId="0" fontId="26" fillId="0" borderId="0" xfId="0" applyFont="1"/>
    <xf numFmtId="0" fontId="25" fillId="0" borderId="0" xfId="0" applyFont="1"/>
    <xf numFmtId="0" fontId="24" fillId="0" borderId="0" xfId="0" applyFont="1" applyFill="1" applyBorder="1"/>
    <xf numFmtId="2" fontId="24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/>
    <xf numFmtId="0" fontId="29" fillId="0" borderId="0" xfId="0" applyFont="1" applyFill="1" applyBorder="1"/>
    <xf numFmtId="0" fontId="24" fillId="0" borderId="0" xfId="0" applyNumberFormat="1" applyFont="1" applyFill="1" applyBorder="1"/>
    <xf numFmtId="0" fontId="24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2" fontId="27" fillId="0" borderId="0" xfId="0" applyNumberFormat="1" applyFont="1" applyFill="1" applyBorder="1" applyAlignment="1" applyProtection="1">
      <alignment horizontal="center" vertical="center"/>
    </xf>
    <xf numFmtId="0" fontId="27" fillId="0" borderId="0" xfId="0" applyNumberFormat="1" applyFont="1" applyFill="1" applyBorder="1" applyAlignment="1" applyProtection="1">
      <alignment horizontal="center" vertical="center"/>
    </xf>
    <xf numFmtId="9" fontId="27" fillId="0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/>
    <xf numFmtId="0" fontId="29" fillId="0" borderId="0" xfId="0" applyFont="1" applyFill="1" applyBorder="1" applyAlignment="1">
      <alignment horizontal="center" vertical="center"/>
    </xf>
    <xf numFmtId="2" fontId="29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" fontId="24" fillId="0" borderId="0" xfId="0" applyNumberFormat="1" applyFont="1" applyFill="1" applyBorder="1"/>
    <xf numFmtId="10" fontId="27" fillId="0" borderId="0" xfId="0" applyNumberFormat="1" applyFont="1" applyFill="1" applyBorder="1" applyAlignment="1" applyProtection="1">
      <alignment horizontal="center" vertical="center"/>
    </xf>
    <xf numFmtId="2" fontId="27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Border="1"/>
    <xf numFmtId="0" fontId="27" fillId="0" borderId="0" xfId="0" applyNumberFormat="1" applyFont="1" applyFill="1" applyBorder="1" applyAlignment="1" applyProtection="1">
      <alignment vertical="center"/>
    </xf>
    <xf numFmtId="0" fontId="29" fillId="0" borderId="0" xfId="0" applyNumberFormat="1" applyFont="1" applyFill="1" applyBorder="1" applyAlignment="1" applyProtection="1">
      <alignment horizontal="center" vertical="center"/>
    </xf>
    <xf numFmtId="10" fontId="29" fillId="0" borderId="0" xfId="0" applyNumberFormat="1" applyFont="1" applyFill="1" applyBorder="1" applyAlignment="1" applyProtection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2" fontId="29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Fill="1" applyBorder="1"/>
    <xf numFmtId="10" fontId="29" fillId="0" borderId="0" xfId="1" applyNumberFormat="1" applyFont="1" applyFill="1" applyBorder="1" applyAlignment="1">
      <alignment horizontal="center"/>
    </xf>
    <xf numFmtId="10" fontId="27" fillId="0" borderId="0" xfId="1" applyNumberFormat="1" applyFont="1" applyFill="1" applyBorder="1" applyAlignment="1">
      <alignment horizontal="center"/>
    </xf>
    <xf numFmtId="2" fontId="29" fillId="0" borderId="0" xfId="0" applyNumberFormat="1" applyFont="1" applyFill="1" applyBorder="1"/>
    <xf numFmtId="0" fontId="28" fillId="0" borderId="0" xfId="0" applyFont="1" applyFill="1" applyBorder="1"/>
    <xf numFmtId="164" fontId="30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1" fontId="29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NumberFormat="1" applyFont="1" applyFill="1" applyBorder="1"/>
    <xf numFmtId="0" fontId="28" fillId="0" borderId="0" xfId="0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/>
    <xf numFmtId="0" fontId="32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vertical="center"/>
    </xf>
    <xf numFmtId="49" fontId="24" fillId="0" borderId="0" xfId="0" applyNumberFormat="1" applyFont="1" applyFill="1" applyBorder="1"/>
    <xf numFmtId="14" fontId="28" fillId="0" borderId="0" xfId="0" applyNumberFormat="1" applyFont="1" applyFill="1" applyBorder="1"/>
    <xf numFmtId="49" fontId="24" fillId="0" borderId="0" xfId="0" applyNumberFormat="1" applyFont="1" applyFill="1" applyBorder="1" applyAlignment="1">
      <alignment horizontal="center"/>
    </xf>
    <xf numFmtId="14" fontId="28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Protection="1">
      <protection hidden="1"/>
    </xf>
    <xf numFmtId="0" fontId="34" fillId="0" borderId="0" xfId="0" applyFont="1" applyFill="1" applyBorder="1" applyProtection="1">
      <protection hidden="1"/>
    </xf>
    <xf numFmtId="0" fontId="34" fillId="0" borderId="0" xfId="0" applyFont="1" applyFill="1" applyBorder="1"/>
    <xf numFmtId="49" fontId="24" fillId="0" borderId="0" xfId="0" applyNumberFormat="1" applyFont="1" applyFill="1" applyBorder="1" applyAlignment="1" applyProtection="1">
      <alignment horizontal="center"/>
      <protection locked="0"/>
    </xf>
    <xf numFmtId="0" fontId="24" fillId="0" borderId="0" xfId="0" applyNumberFormat="1" applyFont="1" applyFill="1" applyBorder="1" applyProtection="1"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1" fontId="24" fillId="0" borderId="0" xfId="0" applyNumberFormat="1" applyFont="1" applyFill="1" applyBorder="1" applyAlignment="1" applyProtection="1">
      <alignment horizontal="center"/>
      <protection hidden="1"/>
    </xf>
    <xf numFmtId="166" fontId="24" fillId="0" borderId="0" xfId="0" applyNumberFormat="1" applyFont="1" applyFill="1" applyBorder="1" applyAlignment="1" applyProtection="1">
      <alignment horizontal="center"/>
      <protection hidden="1"/>
    </xf>
    <xf numFmtId="167" fontId="34" fillId="0" borderId="0" xfId="0" applyNumberFormat="1" applyFont="1" applyFill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24" fillId="0" borderId="0" xfId="0" applyNumberFormat="1" applyFont="1" applyFill="1" applyBorder="1" applyAlignment="1">
      <alignment horizontal="center"/>
    </xf>
    <xf numFmtId="1" fontId="24" fillId="0" borderId="0" xfId="1" applyNumberFormat="1" applyFont="1" applyFill="1" applyBorder="1" applyAlignment="1">
      <alignment horizontal="center"/>
    </xf>
    <xf numFmtId="1" fontId="24" fillId="0" borderId="0" xfId="0" applyNumberFormat="1" applyFont="1" applyFill="1" applyBorder="1" applyAlignment="1">
      <alignment horizontal="center"/>
    </xf>
    <xf numFmtId="9" fontId="24" fillId="0" borderId="0" xfId="1" applyNumberFormat="1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Border="1" applyAlignment="1" applyProtection="1">
      <alignment horizontal="center"/>
      <protection hidden="1"/>
    </xf>
    <xf numFmtId="2" fontId="24" fillId="0" borderId="0" xfId="1" applyNumberFormat="1" applyFont="1" applyFill="1" applyBorder="1"/>
    <xf numFmtId="0" fontId="34" fillId="0" borderId="0" xfId="0" applyNumberFormat="1" applyFont="1" applyFill="1" applyBorder="1" applyAlignment="1" applyProtection="1">
      <alignment horizontal="center"/>
      <protection hidden="1"/>
    </xf>
    <xf numFmtId="0" fontId="35" fillId="0" borderId="0" xfId="0" applyFont="1" applyFill="1" applyBorder="1"/>
    <xf numFmtId="0" fontId="35" fillId="0" borderId="0" xfId="0" applyNumberFormat="1" applyFont="1" applyFill="1" applyBorder="1"/>
    <xf numFmtId="167" fontId="24" fillId="0" borderId="0" xfId="0" applyNumberFormat="1" applyFont="1" applyFill="1" applyBorder="1" applyAlignment="1" applyProtection="1">
      <alignment horizontal="center"/>
      <protection hidden="1"/>
    </xf>
    <xf numFmtId="9" fontId="24" fillId="0" borderId="0" xfId="0" applyNumberFormat="1" applyFont="1" applyFill="1" applyBorder="1" applyAlignment="1" applyProtection="1">
      <alignment horizontal="center"/>
      <protection hidden="1"/>
    </xf>
    <xf numFmtId="14" fontId="24" fillId="0" borderId="0" xfId="0" applyNumberFormat="1" applyFont="1" applyFill="1" applyBorder="1" applyAlignment="1">
      <alignment horizontal="center" vertical="center"/>
    </xf>
    <xf numFmtId="49" fontId="34" fillId="0" borderId="0" xfId="0" applyNumberFormat="1" applyFont="1" applyFill="1" applyBorder="1" applyAlignment="1" applyProtection="1">
      <alignment horizontal="center" vertical="center"/>
      <protection locked="0"/>
    </xf>
    <xf numFmtId="10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/>
    <xf numFmtId="0" fontId="36" fillId="0" borderId="0" xfId="0" applyFont="1" applyFill="1" applyBorder="1"/>
    <xf numFmtId="1" fontId="36" fillId="0" borderId="0" xfId="0" applyNumberFormat="1" applyFont="1" applyFill="1" applyBorder="1"/>
    <xf numFmtId="14" fontId="24" fillId="0" borderId="0" xfId="0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left"/>
    </xf>
    <xf numFmtId="9" fontId="24" fillId="0" borderId="0" xfId="0" applyNumberFormat="1" applyFont="1" applyFill="1" applyBorder="1"/>
    <xf numFmtId="10" fontId="24" fillId="0" borderId="0" xfId="0" applyNumberFormat="1" applyFont="1" applyFill="1" applyBorder="1"/>
    <xf numFmtId="0" fontId="36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left"/>
    </xf>
    <xf numFmtId="0" fontId="36" fillId="0" borderId="0" xfId="0" applyNumberFormat="1" applyFont="1" applyFill="1" applyBorder="1" applyAlignment="1">
      <alignment horizontal="center"/>
    </xf>
    <xf numFmtId="2" fontId="36" fillId="0" borderId="0" xfId="0" applyNumberFormat="1" applyFont="1" applyFill="1" applyBorder="1" applyAlignment="1">
      <alignment horizontal="center"/>
    </xf>
    <xf numFmtId="49" fontId="26" fillId="0" borderId="0" xfId="0" applyNumberFormat="1" applyFont="1"/>
    <xf numFmtId="2" fontId="26" fillId="0" borderId="0" xfId="0" applyNumberFormat="1" applyFont="1"/>
    <xf numFmtId="10" fontId="26" fillId="0" borderId="0" xfId="0" applyNumberFormat="1" applyFont="1"/>
    <xf numFmtId="9" fontId="26" fillId="0" borderId="0" xfId="0" applyNumberFormat="1" applyFont="1"/>
    <xf numFmtId="14" fontId="26" fillId="0" borderId="0" xfId="0" applyNumberFormat="1" applyFont="1"/>
    <xf numFmtId="20" fontId="26" fillId="0" borderId="0" xfId="0" applyNumberFormat="1" applyFont="1"/>
    <xf numFmtId="0" fontId="26" fillId="0" borderId="0" xfId="0" applyNumberFormat="1" applyFont="1"/>
    <xf numFmtId="0" fontId="24" fillId="7" borderId="0" xfId="0" applyFont="1" applyFill="1" applyBorder="1"/>
    <xf numFmtId="164" fontId="24" fillId="7" borderId="0" xfId="0" applyNumberFormat="1" applyFont="1" applyFill="1" applyBorder="1"/>
    <xf numFmtId="0" fontId="24" fillId="2" borderId="0" xfId="0" applyNumberFormat="1" applyFont="1" applyFill="1" applyBorder="1"/>
    <xf numFmtId="0" fontId="42" fillId="0" borderId="0" xfId="0" applyFont="1"/>
    <xf numFmtId="0" fontId="42" fillId="0" borderId="0" xfId="0" applyFont="1" applyBorder="1"/>
    <xf numFmtId="0" fontId="42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14" fontId="18" fillId="4" borderId="2" xfId="0" applyNumberFormat="1" applyFont="1" applyFill="1" applyBorder="1" applyAlignment="1" applyProtection="1">
      <alignment horizontal="center" vertical="center"/>
      <protection locked="0"/>
    </xf>
    <xf numFmtId="14" fontId="18" fillId="4" borderId="21" xfId="0" applyNumberFormat="1" applyFont="1" applyFill="1" applyBorder="1" applyAlignment="1" applyProtection="1">
      <alignment horizontal="center" vertical="center"/>
      <protection locked="0"/>
    </xf>
    <xf numFmtId="0" fontId="3" fillId="4" borderId="24" xfId="0" applyFont="1" applyFill="1" applyBorder="1" applyAlignment="1" applyProtection="1">
      <protection hidden="1"/>
    </xf>
    <xf numFmtId="0" fontId="4" fillId="4" borderId="0" xfId="0" applyFont="1" applyFill="1" applyBorder="1" applyProtection="1">
      <protection hidden="1"/>
    </xf>
    <xf numFmtId="20" fontId="4" fillId="4" borderId="0" xfId="0" applyNumberFormat="1" applyFont="1" applyFill="1" applyBorder="1" applyProtection="1">
      <protection hidden="1"/>
    </xf>
    <xf numFmtId="20" fontId="9" fillId="4" borderId="0" xfId="0" applyNumberFormat="1" applyFont="1" applyFill="1" applyBorder="1" applyAlignment="1" applyProtection="1">
      <alignment horizontal="center"/>
      <protection hidden="1"/>
    </xf>
    <xf numFmtId="14" fontId="5" fillId="4" borderId="0" xfId="0" applyNumberFormat="1" applyFont="1" applyFill="1" applyBorder="1" applyAlignment="1" applyProtection="1">
      <alignment horizontal="left"/>
      <protection hidden="1"/>
    </xf>
    <xf numFmtId="14" fontId="4" fillId="4" borderId="0" xfId="0" applyNumberFormat="1" applyFont="1" applyFill="1" applyBorder="1" applyAlignment="1" applyProtection="1">
      <alignment horizontal="center"/>
      <protection hidden="1"/>
    </xf>
    <xf numFmtId="20" fontId="4" fillId="4" borderId="2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42" fillId="4" borderId="0" xfId="0" applyFont="1" applyFill="1" applyProtection="1">
      <protection hidden="1"/>
    </xf>
    <xf numFmtId="20" fontId="42" fillId="4" borderId="0" xfId="0" applyNumberFormat="1" applyFont="1" applyFill="1" applyBorder="1" applyProtection="1">
      <protection hidden="1"/>
    </xf>
    <xf numFmtId="0" fontId="43" fillId="4" borderId="1" xfId="0" applyFont="1" applyFill="1" applyBorder="1" applyAlignment="1" applyProtection="1">
      <alignment horizontal="center"/>
      <protection hidden="1"/>
    </xf>
    <xf numFmtId="14" fontId="42" fillId="4" borderId="0" xfId="0" applyNumberFormat="1" applyFont="1" applyFill="1" applyBorder="1" applyAlignment="1" applyProtection="1">
      <alignment horizontal="center"/>
      <protection hidden="1"/>
    </xf>
    <xf numFmtId="0" fontId="42" fillId="4" borderId="0" xfId="0" applyFont="1" applyFill="1" applyBorder="1" applyProtection="1">
      <protection hidden="1"/>
    </xf>
    <xf numFmtId="0" fontId="46" fillId="4" borderId="0" xfId="0" applyFont="1" applyFill="1" applyBorder="1" applyAlignment="1" applyProtection="1">
      <alignment horizontal="center"/>
      <protection hidden="1"/>
    </xf>
    <xf numFmtId="14" fontId="43" fillId="4" borderId="0" xfId="0" applyNumberFormat="1" applyFont="1" applyFill="1" applyBorder="1" applyAlignment="1" applyProtection="1">
      <alignment horizontal="center"/>
      <protection hidden="1"/>
    </xf>
    <xf numFmtId="49" fontId="42" fillId="4" borderId="0" xfId="0" applyNumberFormat="1" applyFont="1" applyFill="1" applyBorder="1" applyAlignment="1" applyProtection="1">
      <alignment horizontal="center"/>
      <protection hidden="1"/>
    </xf>
    <xf numFmtId="0" fontId="42" fillId="4" borderId="0" xfId="0" applyFont="1" applyFill="1" applyBorder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 vertical="center"/>
      <protection hidden="1"/>
    </xf>
    <xf numFmtId="0" fontId="42" fillId="4" borderId="0" xfId="0" applyFont="1" applyFill="1"/>
    <xf numFmtId="49" fontId="38" fillId="4" borderId="0" xfId="0" applyNumberFormat="1" applyFont="1" applyFill="1" applyBorder="1" applyAlignment="1" applyProtection="1">
      <alignment horizontal="center" vertical="center"/>
      <protection hidden="1"/>
    </xf>
    <xf numFmtId="49" fontId="16" fillId="4" borderId="0" xfId="0" applyNumberFormat="1" applyFont="1" applyFill="1" applyBorder="1" applyAlignment="1" applyProtection="1">
      <alignment vertical="top"/>
      <protection hidden="1"/>
    </xf>
    <xf numFmtId="0" fontId="0" fillId="4" borderId="0" xfId="0" applyFill="1"/>
    <xf numFmtId="0" fontId="41" fillId="4" borderId="0" xfId="0" applyFont="1" applyFill="1"/>
    <xf numFmtId="0" fontId="17" fillId="4" borderId="0" xfId="0" applyFont="1" applyFill="1" applyBorder="1" applyAlignment="1" applyProtection="1">
      <alignment horizontal="center"/>
      <protection hidden="1"/>
    </xf>
    <xf numFmtId="0" fontId="3" fillId="4" borderId="0" xfId="0" applyFont="1" applyFill="1" applyAlignment="1" applyProtection="1">
      <protection hidden="1"/>
    </xf>
    <xf numFmtId="0" fontId="41" fillId="4" borderId="0" xfId="0" applyFont="1" applyFill="1" applyProtection="1">
      <protection hidden="1"/>
    </xf>
    <xf numFmtId="0" fontId="4" fillId="4" borderId="0" xfId="0" applyFont="1" applyFill="1" applyAlignment="1" applyProtection="1">
      <alignment horizontal="center"/>
      <protection hidden="1"/>
    </xf>
    <xf numFmtId="0" fontId="42" fillId="4" borderId="0" xfId="0" applyFont="1" applyFill="1" applyAlignment="1">
      <alignment horizontal="center" vertical="center"/>
    </xf>
    <xf numFmtId="0" fontId="4" fillId="4" borderId="0" xfId="0" applyFont="1" applyFill="1" applyProtection="1">
      <protection hidden="1"/>
    </xf>
    <xf numFmtId="0" fontId="42" fillId="4" borderId="0" xfId="0" applyFont="1" applyFill="1" applyBorder="1" applyAlignment="1">
      <alignment horizontal="center"/>
    </xf>
    <xf numFmtId="0" fontId="42" fillId="4" borderId="0" xfId="0" applyFont="1" applyFill="1" applyAlignment="1">
      <alignment horizontal="center"/>
    </xf>
    <xf numFmtId="10" fontId="0" fillId="4" borderId="0" xfId="0" applyNumberFormat="1" applyFill="1" applyProtection="1">
      <protection hidden="1"/>
    </xf>
    <xf numFmtId="0" fontId="42" fillId="4" borderId="0" xfId="0" applyFont="1" applyFill="1" applyBorder="1"/>
    <xf numFmtId="49" fontId="42" fillId="4" borderId="0" xfId="0" applyNumberFormat="1" applyFont="1" applyFill="1" applyBorder="1" applyAlignment="1">
      <alignment horizontal="center"/>
    </xf>
    <xf numFmtId="0" fontId="43" fillId="4" borderId="0" xfId="0" applyFont="1" applyFill="1" applyBorder="1" applyAlignment="1" applyProtection="1">
      <alignment horizontal="center" vertical="center"/>
      <protection hidden="1"/>
    </xf>
    <xf numFmtId="0" fontId="43" fillId="4" borderId="0" xfId="0" applyFont="1" applyFill="1" applyBorder="1" applyProtection="1">
      <protection hidden="1"/>
    </xf>
    <xf numFmtId="0" fontId="45" fillId="4" borderId="0" xfId="0" applyFont="1" applyFill="1" applyBorder="1" applyAlignment="1" applyProtection="1">
      <alignment vertical="center"/>
      <protection hidden="1"/>
    </xf>
    <xf numFmtId="0" fontId="42" fillId="4" borderId="0" xfId="0" applyFont="1" applyFill="1" applyAlignment="1" applyProtection="1">
      <alignment vertical="center"/>
      <protection hidden="1"/>
    </xf>
    <xf numFmtId="0" fontId="47" fillId="4" borderId="0" xfId="2" applyFont="1" applyFill="1" applyAlignment="1" applyProtection="1">
      <alignment vertical="center"/>
      <protection hidden="1"/>
    </xf>
    <xf numFmtId="0" fontId="43" fillId="4" borderId="0" xfId="0" applyFont="1" applyFill="1" applyAlignment="1">
      <alignment horizontal="center" vertical="center"/>
    </xf>
    <xf numFmtId="14" fontId="43" fillId="4" borderId="0" xfId="0" applyNumberFormat="1" applyFont="1" applyFill="1" applyBorder="1" applyAlignment="1">
      <alignment horizontal="center"/>
    </xf>
    <xf numFmtId="0" fontId="49" fillId="4" borderId="0" xfId="0" applyFont="1" applyFill="1" applyProtection="1">
      <protection hidden="1"/>
    </xf>
    <xf numFmtId="0" fontId="49" fillId="4" borderId="0" xfId="0" applyFont="1" applyFill="1" applyAlignment="1" applyProtection="1">
      <alignment horizontal="left" vertical="center"/>
      <protection hidden="1"/>
    </xf>
    <xf numFmtId="0" fontId="10" fillId="9" borderId="22" xfId="0" applyFont="1" applyFill="1" applyBorder="1" applyAlignment="1" applyProtection="1">
      <alignment horizontal="center" vertical="center"/>
      <protection hidden="1"/>
    </xf>
    <xf numFmtId="0" fontId="10" fillId="10" borderId="17" xfId="0" applyFont="1" applyFill="1" applyBorder="1" applyAlignment="1" applyProtection="1">
      <alignment horizontal="left" vertical="center"/>
      <protection hidden="1"/>
    </xf>
    <xf numFmtId="0" fontId="10" fillId="10" borderId="22" xfId="0" applyFont="1" applyFill="1" applyBorder="1" applyAlignment="1" applyProtection="1">
      <alignment horizontal="center" vertical="center"/>
      <protection hidden="1"/>
    </xf>
    <xf numFmtId="14" fontId="10" fillId="9" borderId="17" xfId="0" applyNumberFormat="1" applyFont="1" applyFill="1" applyBorder="1" applyAlignment="1" applyProtection="1">
      <alignment horizontal="left" vertical="center"/>
      <protection hidden="1"/>
    </xf>
    <xf numFmtId="14" fontId="10" fillId="9" borderId="22" xfId="0" applyNumberFormat="1" applyFont="1" applyFill="1" applyBorder="1" applyAlignment="1" applyProtection="1">
      <alignment horizontal="center" vertical="center"/>
      <protection hidden="1"/>
    </xf>
    <xf numFmtId="20" fontId="10" fillId="9" borderId="22" xfId="0" applyNumberFormat="1" applyFont="1" applyFill="1" applyBorder="1" applyAlignment="1" applyProtection="1">
      <alignment horizontal="center" vertical="center"/>
      <protection hidden="1"/>
    </xf>
    <xf numFmtId="49" fontId="50" fillId="4" borderId="0" xfId="0" applyNumberFormat="1" applyFont="1" applyFill="1" applyBorder="1" applyAlignment="1" applyProtection="1">
      <alignment horizontal="center" vertical="top"/>
      <protection hidden="1"/>
    </xf>
    <xf numFmtId="49" fontId="51" fillId="4" borderId="3" xfId="0" applyNumberFormat="1" applyFont="1" applyFill="1" applyBorder="1" applyAlignment="1" applyProtection="1">
      <alignment horizontal="center"/>
      <protection locked="0" hidden="1"/>
    </xf>
    <xf numFmtId="0" fontId="48" fillId="5" borderId="4" xfId="0" applyFont="1" applyFill="1" applyBorder="1" applyAlignment="1" applyProtection="1">
      <alignment horizontal="center" vertical="center"/>
      <protection hidden="1"/>
    </xf>
    <xf numFmtId="0" fontId="48" fillId="5" borderId="5" xfId="0" applyFont="1" applyFill="1" applyBorder="1" applyAlignment="1" applyProtection="1">
      <alignment horizontal="center" vertical="center"/>
      <protection hidden="1"/>
    </xf>
    <xf numFmtId="0" fontId="48" fillId="5" borderId="6" xfId="0" applyFont="1" applyFill="1" applyBorder="1" applyAlignment="1" applyProtection="1">
      <alignment horizontal="center" vertical="center"/>
      <protection hidden="1"/>
    </xf>
    <xf numFmtId="0" fontId="21" fillId="4" borderId="7" xfId="0" applyFont="1" applyFill="1" applyBorder="1" applyAlignment="1" applyProtection="1">
      <alignment horizontal="center" vertical="center"/>
      <protection hidden="1"/>
    </xf>
    <xf numFmtId="0" fontId="21" fillId="4" borderId="8" xfId="0" applyFont="1" applyFill="1" applyBorder="1" applyAlignment="1" applyProtection="1">
      <alignment horizontal="center" vertical="center"/>
      <protection hidden="1"/>
    </xf>
    <xf numFmtId="0" fontId="21" fillId="4" borderId="9" xfId="0" applyFont="1" applyFill="1" applyBorder="1" applyAlignment="1" applyProtection="1">
      <alignment horizontal="center" vertical="center"/>
      <protection hidden="1"/>
    </xf>
    <xf numFmtId="0" fontId="21" fillId="4" borderId="10" xfId="0" applyFont="1" applyFill="1" applyBorder="1" applyAlignment="1" applyProtection="1">
      <alignment horizontal="center" vertical="center"/>
      <protection hidden="1"/>
    </xf>
    <xf numFmtId="0" fontId="21" fillId="4" borderId="11" xfId="0" applyFont="1" applyFill="1" applyBorder="1" applyAlignment="1" applyProtection="1">
      <alignment horizontal="center" vertical="center"/>
      <protection hidden="1"/>
    </xf>
    <xf numFmtId="0" fontId="21" fillId="4" borderId="12" xfId="0" applyFont="1" applyFill="1" applyBorder="1" applyAlignment="1" applyProtection="1">
      <alignment horizontal="center" vertical="center"/>
      <protection hidden="1"/>
    </xf>
    <xf numFmtId="0" fontId="44" fillId="4" borderId="0" xfId="0" applyFont="1" applyFill="1" applyBorder="1" applyAlignment="1" applyProtection="1">
      <alignment horizontal="center" vertical="center"/>
      <protection hidden="1"/>
    </xf>
    <xf numFmtId="0" fontId="12" fillId="4" borderId="4" xfId="0" applyFont="1" applyFill="1" applyBorder="1" applyAlignment="1" applyProtection="1">
      <alignment horizontal="center" vertical="center"/>
      <protection hidden="1"/>
    </xf>
    <xf numFmtId="0" fontId="12" fillId="4" borderId="5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11" borderId="7" xfId="0" applyFont="1" applyFill="1" applyBorder="1" applyAlignment="1" applyProtection="1">
      <alignment horizontal="center" vertical="center"/>
      <protection hidden="1"/>
    </xf>
    <xf numFmtId="0" fontId="11" fillId="11" borderId="8" xfId="0" applyFont="1" applyFill="1" applyBorder="1" applyAlignment="1" applyProtection="1">
      <alignment horizontal="center" vertical="center"/>
      <protection hidden="1"/>
    </xf>
    <xf numFmtId="0" fontId="11" fillId="11" borderId="9" xfId="0" applyFont="1" applyFill="1" applyBorder="1" applyAlignment="1" applyProtection="1">
      <alignment horizontal="center" vertical="center"/>
      <protection hidden="1"/>
    </xf>
    <xf numFmtId="0" fontId="11" fillId="11" borderId="10" xfId="0" applyFont="1" applyFill="1" applyBorder="1" applyAlignment="1" applyProtection="1">
      <alignment horizontal="center" vertical="center"/>
      <protection hidden="1"/>
    </xf>
    <xf numFmtId="0" fontId="11" fillId="11" borderId="11" xfId="0" applyFont="1" applyFill="1" applyBorder="1" applyAlignment="1" applyProtection="1">
      <alignment horizontal="center" vertical="center"/>
      <protection hidden="1"/>
    </xf>
    <xf numFmtId="0" fontId="11" fillId="11" borderId="12" xfId="0" applyFont="1" applyFill="1" applyBorder="1" applyAlignment="1" applyProtection="1">
      <alignment horizontal="center" vertical="center"/>
      <protection hidden="1"/>
    </xf>
    <xf numFmtId="0" fontId="11" fillId="8" borderId="7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 applyProtection="1">
      <alignment horizontal="center" vertical="center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11" fillId="8" borderId="10" xfId="0" applyFont="1" applyFill="1" applyBorder="1" applyAlignment="1" applyProtection="1">
      <alignment horizontal="center" vertical="center"/>
      <protection hidden="1"/>
    </xf>
    <xf numFmtId="0" fontId="11" fillId="8" borderId="11" xfId="0" applyFont="1" applyFill="1" applyBorder="1" applyAlignment="1" applyProtection="1">
      <alignment horizontal="center" vertical="center"/>
      <protection hidden="1"/>
    </xf>
    <xf numFmtId="0" fontId="11" fillId="8" borderId="12" xfId="0" applyFont="1" applyFill="1" applyBorder="1" applyAlignment="1" applyProtection="1">
      <alignment horizontal="center" vertical="center"/>
      <protection hidden="1"/>
    </xf>
    <xf numFmtId="9" fontId="20" fillId="4" borderId="7" xfId="0" applyNumberFormat="1" applyFont="1" applyFill="1" applyBorder="1" applyAlignment="1" applyProtection="1">
      <alignment horizontal="center" vertical="center"/>
      <protection hidden="1"/>
    </xf>
    <xf numFmtId="9" fontId="20" fillId="4" borderId="9" xfId="0" applyNumberFormat="1" applyFont="1" applyFill="1" applyBorder="1" applyAlignment="1" applyProtection="1">
      <alignment horizontal="center" vertical="center"/>
      <protection hidden="1"/>
    </xf>
    <xf numFmtId="9" fontId="20" fillId="4" borderId="10" xfId="0" applyNumberFormat="1" applyFont="1" applyFill="1" applyBorder="1" applyAlignment="1" applyProtection="1">
      <alignment horizontal="center" vertical="center"/>
      <protection hidden="1"/>
    </xf>
    <xf numFmtId="9" fontId="20" fillId="4" borderId="12" xfId="0" applyNumberFormat="1" applyFont="1" applyFill="1" applyBorder="1" applyAlignment="1" applyProtection="1">
      <alignment horizontal="center" vertical="center"/>
      <protection hidden="1"/>
    </xf>
    <xf numFmtId="0" fontId="7" fillId="5" borderId="4" xfId="0" applyFont="1" applyFill="1" applyBorder="1" applyAlignment="1" applyProtection="1">
      <alignment horizontal="center" vertical="center"/>
      <protection hidden="1"/>
    </xf>
    <xf numFmtId="0" fontId="7" fillId="5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/>
      <protection hidden="1"/>
    </xf>
    <xf numFmtId="0" fontId="12" fillId="5" borderId="4" xfId="0" applyFont="1" applyFill="1" applyBorder="1" applyAlignment="1" applyProtection="1">
      <alignment horizontal="center" vertical="center"/>
      <protection hidden="1"/>
    </xf>
    <xf numFmtId="0" fontId="12" fillId="5" borderId="5" xfId="0" applyFont="1" applyFill="1" applyBorder="1" applyAlignment="1" applyProtection="1">
      <alignment horizontal="center" vertical="center"/>
      <protection hidden="1"/>
    </xf>
    <xf numFmtId="0" fontId="12" fillId="5" borderId="6" xfId="0" applyFont="1" applyFill="1" applyBorder="1" applyAlignment="1" applyProtection="1">
      <alignment horizontal="center" vertical="center"/>
      <protection hidden="1"/>
    </xf>
    <xf numFmtId="0" fontId="14" fillId="4" borderId="7" xfId="0" applyFont="1" applyFill="1" applyBorder="1" applyAlignment="1" applyProtection="1">
      <alignment horizontal="center" vertical="center"/>
      <protection hidden="1"/>
    </xf>
    <xf numFmtId="0" fontId="14" fillId="4" borderId="8" xfId="0" applyFont="1" applyFill="1" applyBorder="1" applyAlignment="1" applyProtection="1">
      <alignment horizontal="center" vertical="center"/>
      <protection hidden="1"/>
    </xf>
    <xf numFmtId="0" fontId="14" fillId="4" borderId="9" xfId="0" applyFont="1" applyFill="1" applyBorder="1" applyAlignment="1" applyProtection="1">
      <alignment horizontal="center" vertical="center"/>
      <protection hidden="1"/>
    </xf>
    <xf numFmtId="0" fontId="14" fillId="4" borderId="10" xfId="0" applyFont="1" applyFill="1" applyBorder="1" applyAlignment="1" applyProtection="1">
      <alignment horizontal="center" vertical="center"/>
      <protection hidden="1"/>
    </xf>
    <xf numFmtId="0" fontId="14" fillId="4" borderId="11" xfId="0" applyFont="1" applyFill="1" applyBorder="1" applyAlignment="1" applyProtection="1">
      <alignment horizontal="center" vertical="center"/>
      <protection hidden="1"/>
    </xf>
    <xf numFmtId="0" fontId="14" fillId="4" borderId="12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2" fillId="6" borderId="4" xfId="0" applyFont="1" applyFill="1" applyBorder="1" applyAlignment="1" applyProtection="1">
      <alignment horizontal="center" vertical="center"/>
      <protection hidden="1"/>
    </xf>
    <xf numFmtId="0" fontId="12" fillId="6" borderId="5" xfId="0" applyFont="1" applyFill="1" applyBorder="1" applyAlignment="1" applyProtection="1">
      <alignment horizontal="center" vertical="center"/>
      <protection hidden="1"/>
    </xf>
    <xf numFmtId="0" fontId="12" fillId="6" borderId="6" xfId="0" applyFont="1" applyFill="1" applyBorder="1" applyAlignment="1" applyProtection="1">
      <alignment horizontal="center" vertical="center"/>
      <protection hidden="1"/>
    </xf>
    <xf numFmtId="0" fontId="6" fillId="4" borderId="10" xfId="0" applyFont="1" applyFill="1" applyBorder="1" applyAlignment="1" applyProtection="1">
      <alignment horizontal="center"/>
      <protection hidden="1"/>
    </xf>
    <xf numFmtId="0" fontId="6" fillId="4" borderId="11" xfId="0" applyFont="1" applyFill="1" applyBorder="1" applyAlignment="1" applyProtection="1">
      <alignment horizontal="center"/>
      <protection hidden="1"/>
    </xf>
    <xf numFmtId="0" fontId="6" fillId="4" borderId="12" xfId="0" applyFont="1" applyFill="1" applyBorder="1" applyAlignment="1" applyProtection="1">
      <alignment horizontal="center"/>
      <protection hidden="1"/>
    </xf>
    <xf numFmtId="0" fontId="40" fillId="4" borderId="0" xfId="0" applyFont="1" applyFill="1" applyAlignment="1" applyProtection="1">
      <alignment horizontal="center"/>
      <protection hidden="1"/>
    </xf>
    <xf numFmtId="0" fontId="39" fillId="4" borderId="0" xfId="0" applyFont="1" applyFill="1" applyAlignment="1" applyProtection="1">
      <alignment horizontal="center"/>
      <protection hidden="1"/>
    </xf>
    <xf numFmtId="49" fontId="48" fillId="5" borderId="4" xfId="0" applyNumberFormat="1" applyFont="1" applyFill="1" applyBorder="1" applyAlignment="1" applyProtection="1">
      <alignment horizontal="center" vertical="center"/>
      <protection locked="0"/>
    </xf>
    <xf numFmtId="49" fontId="48" fillId="5" borderId="5" xfId="0" applyNumberFormat="1" applyFont="1" applyFill="1" applyBorder="1" applyAlignment="1" applyProtection="1">
      <alignment horizontal="center" vertical="center"/>
      <protection locked="0"/>
    </xf>
    <xf numFmtId="49" fontId="48" fillId="5" borderId="6" xfId="0" applyNumberFormat="1" applyFont="1" applyFill="1" applyBorder="1" applyAlignment="1" applyProtection="1">
      <alignment horizontal="center" vertical="center"/>
      <protection locked="0"/>
    </xf>
    <xf numFmtId="0" fontId="42" fillId="4" borderId="5" xfId="0" applyFont="1" applyFill="1" applyBorder="1" applyAlignment="1" applyProtection="1">
      <alignment horizontal="center" vertical="center"/>
      <protection hidden="1"/>
    </xf>
    <xf numFmtId="0" fontId="23" fillId="4" borderId="7" xfId="0" applyFont="1" applyFill="1" applyBorder="1" applyAlignment="1" applyProtection="1">
      <alignment horizontal="center" vertical="center"/>
      <protection hidden="1"/>
    </xf>
    <xf numFmtId="0" fontId="23" fillId="4" borderId="8" xfId="0" applyFont="1" applyFill="1" applyBorder="1" applyAlignment="1" applyProtection="1">
      <alignment horizontal="center" vertical="center"/>
      <protection hidden="1"/>
    </xf>
    <xf numFmtId="0" fontId="23" fillId="4" borderId="9" xfId="0" applyFont="1" applyFill="1" applyBorder="1" applyAlignment="1" applyProtection="1">
      <alignment horizontal="center" vertical="center"/>
      <protection hidden="1"/>
    </xf>
    <xf numFmtId="0" fontId="23" fillId="4" borderId="10" xfId="0" applyFont="1" applyFill="1" applyBorder="1" applyAlignment="1" applyProtection="1">
      <alignment horizontal="center" vertical="center"/>
      <protection hidden="1"/>
    </xf>
    <xf numFmtId="0" fontId="23" fillId="4" borderId="11" xfId="0" applyFont="1" applyFill="1" applyBorder="1" applyAlignment="1" applyProtection="1">
      <alignment horizontal="center" vertical="center"/>
      <protection hidden="1"/>
    </xf>
    <xf numFmtId="0" fontId="23" fillId="4" borderId="12" xfId="0" applyFont="1" applyFill="1" applyBorder="1" applyAlignment="1" applyProtection="1">
      <alignment horizontal="center" vertical="center"/>
      <protection hidden="1"/>
    </xf>
    <xf numFmtId="0" fontId="7" fillId="4" borderId="7" xfId="0" applyFont="1" applyFill="1" applyBorder="1" applyAlignment="1" applyProtection="1">
      <alignment horizontal="center" vertical="center"/>
      <protection hidden="1"/>
    </xf>
    <xf numFmtId="0" fontId="7" fillId="4" borderId="8" xfId="0" applyFont="1" applyFill="1" applyBorder="1" applyAlignment="1" applyProtection="1">
      <alignment horizontal="center" vertical="center"/>
      <protection hidden="1"/>
    </xf>
    <xf numFmtId="0" fontId="7" fillId="4" borderId="6" xfId="0" applyFont="1" applyFill="1" applyBorder="1" applyAlignment="1" applyProtection="1">
      <alignment horizontal="center" vertical="center"/>
      <protection hidden="1"/>
    </xf>
    <xf numFmtId="0" fontId="27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 applyProtection="1">
      <alignment horizontal="center" vertical="center"/>
    </xf>
    <xf numFmtId="2" fontId="27" fillId="0" borderId="0" xfId="0" applyNumberFormat="1" applyFont="1" applyFill="1" applyBorder="1" applyAlignment="1" applyProtection="1">
      <alignment horizontal="center" vertical="center"/>
    </xf>
    <xf numFmtId="9" fontId="30" fillId="0" borderId="0" xfId="0" applyNumberFormat="1" applyFont="1" applyFill="1" applyBorder="1" applyAlignment="1">
      <alignment horizontal="center" vertical="center"/>
    </xf>
    <xf numFmtId="9" fontId="27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left"/>
    </xf>
    <xf numFmtId="1" fontId="36" fillId="0" borderId="0" xfId="0" applyNumberFormat="1" applyFont="1" applyFill="1" applyBorder="1" applyAlignment="1">
      <alignment horizontal="center"/>
    </xf>
  </cellXfs>
  <cellStyles count="4">
    <cellStyle name="Гиперссылка" xfId="2" builtinId="8"/>
    <cellStyle name="Обычный" xfId="0" builtinId="0"/>
    <cellStyle name="Обычный 20" xfId="3" xr:uid="{00000000-0005-0000-0000-000002000000}"/>
    <cellStyle name="Процентный" xfId="1" builtinId="5"/>
  </cellStyles>
  <dxfs count="13">
    <dxf>
      <font>
        <b/>
        <i/>
        <color rgb="FF00B0F0"/>
      </font>
    </dxf>
    <dxf>
      <font>
        <b/>
        <i/>
        <color rgb="FF00B0F0"/>
      </font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strike val="0"/>
        <color theme="1"/>
      </font>
      <fill>
        <patternFill>
          <bgColor theme="1"/>
        </patternFill>
      </fill>
    </dxf>
    <dxf>
      <fill>
        <patternFill>
          <bgColor rgb="FF00CC00"/>
        </pattern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FFFF00"/>
      </font>
      <fill>
        <gradientFill type="path" left="0.5" right="0.5" top="0.5" bottom="0.5">
          <stop position="0">
            <color theme="1"/>
          </stop>
          <stop position="1">
            <color rgb="FF00FF00"/>
          </stop>
        </gradient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  <color rgb="FF00CC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emen/Desktop/&#304;ddaa%20Analiz/GolPlyusTotal_P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emen/Desktop/&#304;ddaa%20Analiz/SPORT/To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Команда 1"/>
      <sheetName val="Команда 2 "/>
      <sheetName val="Старт"/>
      <sheetName val="Команда1"/>
      <sheetName val="Команда2"/>
      <sheetName val="очные"/>
      <sheetName val="Сила атаки и сила обороны"/>
      <sheetName val="Тест1"/>
      <sheetName val="Тест2"/>
      <sheetName val="Верняк"/>
      <sheetName val="G44"/>
      <sheetName val="диагноз3"/>
      <sheetName val="диагноз3 (2)"/>
      <sheetName val="диагноз3 (3)"/>
      <sheetName val="Анализ (2)"/>
      <sheetName val="method1"/>
      <sheetName val="Анализ"/>
      <sheetName val="1"/>
    </sheetNames>
    <sheetDataSet>
      <sheetData sheetId="0" refreshError="1"/>
      <sheetData sheetId="1" refreshError="1"/>
      <sheetData sheetId="2">
        <row r="1">
          <cell r="Q1" t="str">
            <v>BetCity</v>
          </cell>
          <cell r="T1" t="str">
            <v>Ольборг</v>
          </cell>
          <cell r="U1" t="str">
            <v>Оденсе</v>
          </cell>
        </row>
        <row r="2">
          <cell r="Q2" t="str">
            <v>MyScore</v>
          </cell>
          <cell r="T2" t="str">
            <v>Эсбьерг</v>
          </cell>
          <cell r="U2" t="str">
            <v>Норшелланн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Очные"/>
      <sheetName val="Команда1"/>
      <sheetName val="Команда2"/>
      <sheetName val="Расчёт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30"/>
      <sheetName val="31"/>
      <sheetName val="33"/>
      <sheetName val="Итоги"/>
      <sheetName val="Список стран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 t="str">
            <v xml:space="preserve">Австралия </v>
          </cell>
        </row>
        <row r="3">
          <cell r="A3" t="str">
            <v>Австрия</v>
          </cell>
        </row>
        <row r="4">
          <cell r="A4" t="str">
            <v>Бразилия</v>
          </cell>
        </row>
        <row r="5">
          <cell r="A5" t="str">
            <v>ВТБ</v>
          </cell>
        </row>
        <row r="6">
          <cell r="A6" t="str">
            <v xml:space="preserve">Германия </v>
          </cell>
        </row>
        <row r="7">
          <cell r="A7" t="str">
            <v>Греция</v>
          </cell>
        </row>
        <row r="8">
          <cell r="A8" t="str">
            <v>Дания</v>
          </cell>
        </row>
        <row r="9">
          <cell r="A9" t="str">
            <v>Евролига</v>
          </cell>
        </row>
        <row r="10">
          <cell r="A10" t="str">
            <v>Индонезия</v>
          </cell>
        </row>
        <row r="11">
          <cell r="A11" t="str">
            <v>Индонезия</v>
          </cell>
        </row>
        <row r="12">
          <cell r="A12" t="str">
            <v>Испания</v>
          </cell>
        </row>
        <row r="13">
          <cell r="A13" t="str">
            <v>Италия</v>
          </cell>
        </row>
        <row r="14">
          <cell r="A14" t="str">
            <v>Канада</v>
          </cell>
        </row>
        <row r="15">
          <cell r="A15" t="str">
            <v>Литва</v>
          </cell>
        </row>
        <row r="16">
          <cell r="A16" t="str">
            <v>НБА</v>
          </cell>
        </row>
        <row r="17">
          <cell r="A17" t="str">
            <v>НБА D-лига</v>
          </cell>
        </row>
        <row r="18">
          <cell r="A18" t="str">
            <v>Нидерланды</v>
          </cell>
        </row>
        <row r="19">
          <cell r="A19" t="str">
            <v>Норвегия</v>
          </cell>
        </row>
        <row r="20">
          <cell r="A20" t="str">
            <v>Россия</v>
          </cell>
        </row>
        <row r="21">
          <cell r="A21" t="str">
            <v>Румыния</v>
          </cell>
        </row>
        <row r="22">
          <cell r="A22" t="str">
            <v>Словения</v>
          </cell>
        </row>
        <row r="23">
          <cell r="A23" t="str">
            <v>Турция</v>
          </cell>
        </row>
        <row r="24">
          <cell r="A24" t="str">
            <v>Украина</v>
          </cell>
        </row>
        <row r="25">
          <cell r="A25" t="str">
            <v>Филиппины</v>
          </cell>
        </row>
        <row r="26">
          <cell r="A26" t="str">
            <v>Финляндия</v>
          </cell>
        </row>
        <row r="27">
          <cell r="A27" t="str">
            <v>Франция</v>
          </cell>
        </row>
        <row r="28">
          <cell r="A28" t="str">
            <v>Чехия</v>
          </cell>
        </row>
        <row r="29">
          <cell r="A29" t="str">
            <v>Чили</v>
          </cell>
        </row>
        <row r="30">
          <cell r="A30" t="str">
            <v>Швеция</v>
          </cell>
        </row>
        <row r="31">
          <cell r="A31" t="str">
            <v>Юж. Корея</v>
          </cell>
        </row>
        <row r="32">
          <cell r="A32" t="str">
            <v>Япония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00CC00"/>
  </sheetPr>
  <dimension ref="A1:T839"/>
  <sheetViews>
    <sheetView showGridLines="0" tabSelected="1" topLeftCell="C1" zoomScaleNormal="100" workbookViewId="0">
      <selection activeCell="U1" sqref="U1:CS866"/>
    </sheetView>
  </sheetViews>
  <sheetFormatPr defaultColWidth="9.140625" defaultRowHeight="15"/>
  <cols>
    <col min="1" max="1" width="8.140625" style="119" hidden="1" customWidth="1"/>
    <col min="2" max="2" width="4.28515625" style="119" hidden="1" customWidth="1"/>
    <col min="3" max="4" width="18" style="117" customWidth="1"/>
    <col min="5" max="5" width="7.5703125" style="117" customWidth="1"/>
    <col min="6" max="6" width="2.28515625" style="118" customWidth="1"/>
    <col min="7" max="7" width="9.140625" style="117"/>
    <col min="8" max="8" width="11.28515625" style="117" customWidth="1"/>
    <col min="9" max="14" width="9.140625" style="117"/>
    <col min="15" max="15" width="11.140625" style="117" bestFit="1" customWidth="1"/>
    <col min="16" max="17" width="9.140625" style="117"/>
    <col min="18" max="18" width="10.140625" style="117" bestFit="1" customWidth="1"/>
    <col min="19" max="19" width="9.42578125" style="117" bestFit="1" customWidth="1"/>
    <col min="20" max="20" width="9.140625" style="117"/>
    <col min="21" max="142" width="9.140625" style="120"/>
    <col min="143" max="143" width="10.7109375" style="120" customWidth="1"/>
    <col min="144" max="16384" width="9.140625" style="120"/>
  </cols>
  <sheetData>
    <row r="1" spans="1:20" ht="18.75" customHeight="1">
      <c r="A1" s="167"/>
      <c r="B1" s="168"/>
      <c r="C1" s="168"/>
      <c r="D1" s="168"/>
      <c r="E1" s="168"/>
      <c r="F1" s="123"/>
      <c r="G1" s="187" t="str">
        <f>IF(COUNTIF(C2:D11,C3)&gt;COUNTIF(C2:D11,D3),C3,D3)</f>
        <v>Каманда 1</v>
      </c>
      <c r="H1" s="188"/>
      <c r="I1" s="188"/>
      <c r="J1" s="189"/>
      <c r="K1" s="193" t="str">
        <f>IF(COUNTIF(C14:D23,C14)&gt;COUNTIF(C14:D23,D14),C14,D14)</f>
        <v>Команда 2</v>
      </c>
      <c r="L1" s="194"/>
      <c r="M1" s="194"/>
      <c r="N1" s="195"/>
      <c r="O1" s="130"/>
      <c r="P1" s="140"/>
      <c r="Q1" s="140"/>
      <c r="R1" s="140"/>
      <c r="S1" s="141"/>
      <c r="T1" s="141"/>
    </row>
    <row r="2" spans="1:20" ht="18.75" customHeight="1" thickBot="1">
      <c r="A2" s="12">
        <v>43391</v>
      </c>
      <c r="B2" s="6" t="s">
        <v>270</v>
      </c>
      <c r="C2" s="9" t="s">
        <v>271</v>
      </c>
      <c r="D2" s="11">
        <v>1</v>
      </c>
      <c r="E2" s="7" t="s">
        <v>275</v>
      </c>
      <c r="F2" s="124"/>
      <c r="G2" s="190"/>
      <c r="H2" s="191"/>
      <c r="I2" s="191"/>
      <c r="J2" s="192"/>
      <c r="K2" s="196"/>
      <c r="L2" s="197"/>
      <c r="M2" s="197"/>
      <c r="N2" s="198"/>
      <c r="O2" s="130"/>
      <c r="P2" s="172" t="s">
        <v>273</v>
      </c>
      <c r="Q2" s="142"/>
      <c r="R2" s="143"/>
      <c r="S2" s="144"/>
      <c r="T2" s="145"/>
    </row>
    <row r="3" spans="1:20" ht="18.75" customHeight="1" thickBot="1">
      <c r="A3" s="12">
        <v>43387</v>
      </c>
      <c r="B3" s="6" t="s">
        <v>270</v>
      </c>
      <c r="C3" s="9" t="s">
        <v>271</v>
      </c>
      <c r="D3" s="11">
        <v>2</v>
      </c>
      <c r="E3" s="7" t="s">
        <v>285</v>
      </c>
      <c r="F3" s="124"/>
      <c r="G3" s="130"/>
      <c r="H3" s="222" t="str">
        <f>IFERROR(система!AA137,"")</f>
        <v>Забьет в матче</v>
      </c>
      <c r="I3" s="223"/>
      <c r="J3" s="223"/>
      <c r="K3" s="222" t="str">
        <f>IFERROR(система!AB137,"")</f>
        <v>ИТБ 2 ( 1,5 )</v>
      </c>
      <c r="L3" s="223"/>
      <c r="M3" s="224"/>
      <c r="N3" s="130"/>
      <c r="O3" s="130"/>
      <c r="P3" s="146" t="s">
        <v>274</v>
      </c>
      <c r="Q3" s="147"/>
      <c r="R3" s="147"/>
      <c r="S3" s="130"/>
      <c r="T3" s="148"/>
    </row>
    <row r="4" spans="1:20" ht="18.75" customHeight="1" thickBot="1">
      <c r="A4" s="12">
        <v>43386</v>
      </c>
      <c r="B4" s="6" t="s">
        <v>270</v>
      </c>
      <c r="C4" s="9" t="s">
        <v>271</v>
      </c>
      <c r="D4" s="11">
        <v>3</v>
      </c>
      <c r="E4" s="7" t="s">
        <v>283</v>
      </c>
      <c r="F4" s="124"/>
      <c r="G4" s="130"/>
      <c r="H4" s="130"/>
      <c r="I4" s="130"/>
      <c r="J4" s="130"/>
      <c r="K4" s="230"/>
      <c r="L4" s="230"/>
      <c r="M4" s="230"/>
      <c r="N4" s="130"/>
      <c r="O4" s="130"/>
      <c r="P4" s="146"/>
      <c r="Q4" s="149"/>
      <c r="R4" s="149"/>
      <c r="S4" s="130"/>
      <c r="T4" s="148"/>
    </row>
    <row r="5" spans="1:20" ht="18.75" customHeight="1" thickBot="1">
      <c r="A5" s="12">
        <v>43378</v>
      </c>
      <c r="B5" s="6" t="s">
        <v>270</v>
      </c>
      <c r="C5" s="9" t="s">
        <v>271</v>
      </c>
      <c r="D5" s="11">
        <v>4</v>
      </c>
      <c r="E5" s="7" t="s">
        <v>282</v>
      </c>
      <c r="F5" s="124"/>
      <c r="G5" s="130"/>
      <c r="H5" s="15">
        <f>IFERROR(система!BI159,"п")</f>
        <v>0.59180550833049983</v>
      </c>
      <c r="I5" s="219" t="s">
        <v>269</v>
      </c>
      <c r="J5" s="220"/>
      <c r="K5" s="220"/>
      <c r="L5" s="221"/>
      <c r="M5" s="16">
        <f>IFERROR(система!BI160,"п")</f>
        <v>0.40819449166950017</v>
      </c>
      <c r="N5" s="130"/>
      <c r="O5" s="141"/>
      <c r="P5" s="141"/>
      <c r="Q5" s="141"/>
      <c r="R5" s="141"/>
      <c r="S5" s="141"/>
      <c r="T5" s="148"/>
    </row>
    <row r="6" spans="1:20" ht="18.75" customHeight="1" thickBot="1">
      <c r="A6" s="12">
        <v>43374</v>
      </c>
      <c r="B6" s="6" t="s">
        <v>270</v>
      </c>
      <c r="C6" s="9" t="s">
        <v>271</v>
      </c>
      <c r="D6" s="11">
        <v>5</v>
      </c>
      <c r="E6" s="7" t="s">
        <v>285</v>
      </c>
      <c r="F6" s="124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48"/>
    </row>
    <row r="7" spans="1:20" ht="18.75" customHeight="1" thickBot="1">
      <c r="A7" s="12">
        <v>43372</v>
      </c>
      <c r="B7" s="121" t="s">
        <v>270</v>
      </c>
      <c r="C7" s="9" t="s">
        <v>271</v>
      </c>
      <c r="D7" s="11">
        <v>6</v>
      </c>
      <c r="E7" s="7" t="s">
        <v>278</v>
      </c>
      <c r="F7" s="125"/>
      <c r="G7" s="130"/>
      <c r="H7" s="130"/>
      <c r="I7" s="219" t="s">
        <v>266</v>
      </c>
      <c r="J7" s="220"/>
      <c r="K7" s="220"/>
      <c r="L7" s="221"/>
      <c r="M7" s="130"/>
      <c r="N7" s="206" t="s">
        <v>277</v>
      </c>
      <c r="O7" s="207"/>
      <c r="P7" s="207"/>
      <c r="Q7" s="207"/>
      <c r="R7" s="207"/>
      <c r="S7" s="208"/>
      <c r="T7" s="148"/>
    </row>
    <row r="8" spans="1:20" ht="18.75" customHeight="1" thickBot="1">
      <c r="A8" s="12">
        <v>43366</v>
      </c>
      <c r="B8" s="121" t="s">
        <v>270</v>
      </c>
      <c r="C8" s="9" t="s">
        <v>271</v>
      </c>
      <c r="D8" s="11">
        <v>7</v>
      </c>
      <c r="E8" s="7" t="s">
        <v>285</v>
      </c>
      <c r="F8" s="125"/>
      <c r="G8" s="130"/>
      <c r="H8" s="130"/>
      <c r="I8" s="209" t="str">
        <f>IFERROR(IF(система!AF74&gt;12,"KG - VAR",IF(система!AF74&lt;5,"KG - YOK","-")),"")</f>
        <v>KG - VAR</v>
      </c>
      <c r="J8" s="210"/>
      <c r="K8" s="210"/>
      <c r="L8" s="211"/>
      <c r="M8" s="130"/>
      <c r="N8" s="203">
        <f>A1</f>
        <v>0</v>
      </c>
      <c r="O8" s="204"/>
      <c r="P8" s="205"/>
      <c r="Q8" s="237">
        <f>A13</f>
        <v>0</v>
      </c>
      <c r="R8" s="238"/>
      <c r="S8" s="239"/>
      <c r="T8" s="148"/>
    </row>
    <row r="9" spans="1:20" ht="18.75" customHeight="1" thickBot="1">
      <c r="A9" s="12">
        <v>43365</v>
      </c>
      <c r="B9" s="121" t="s">
        <v>270</v>
      </c>
      <c r="C9" s="9" t="s">
        <v>271</v>
      </c>
      <c r="D9" s="11">
        <v>8</v>
      </c>
      <c r="E9" s="7" t="s">
        <v>286</v>
      </c>
      <c r="F9" s="125"/>
      <c r="G9" s="130"/>
      <c r="H9" s="130"/>
      <c r="I9" s="212"/>
      <c r="J9" s="213"/>
      <c r="K9" s="213"/>
      <c r="L9" s="214"/>
      <c r="M9" s="130"/>
      <c r="N9" s="130"/>
      <c r="O9" s="17">
        <f>система!DY49/0.36-1</f>
        <v>-9.3561981900822211E-2</v>
      </c>
      <c r="P9" s="1">
        <v>0</v>
      </c>
      <c r="Q9" s="2">
        <v>0</v>
      </c>
      <c r="R9" s="17">
        <f>система!EA49/0.44-1</f>
        <v>-0.82979483187627545</v>
      </c>
      <c r="S9" s="130"/>
      <c r="T9" s="148"/>
    </row>
    <row r="10" spans="1:20" ht="18.75" customHeight="1" thickBot="1">
      <c r="A10" s="12">
        <v>43359</v>
      </c>
      <c r="B10" s="121" t="s">
        <v>270</v>
      </c>
      <c r="C10" s="9" t="s">
        <v>271</v>
      </c>
      <c r="D10" s="11">
        <v>9</v>
      </c>
      <c r="E10" s="7" t="s">
        <v>285</v>
      </c>
      <c r="F10" s="125"/>
      <c r="G10" s="130"/>
      <c r="H10" s="130"/>
      <c r="I10" s="130"/>
      <c r="J10" s="130"/>
      <c r="K10" s="130"/>
      <c r="L10" s="130"/>
      <c r="M10" s="130"/>
      <c r="N10" s="130"/>
      <c r="O10" s="18">
        <f>система!DY50/0.32-1</f>
        <v>0.14211190280496377</v>
      </c>
      <c r="P10" s="14">
        <v>1</v>
      </c>
      <c r="Q10" s="3">
        <v>1</v>
      </c>
      <c r="R10" s="18">
        <f>система!EA50/0.33-1</f>
        <v>-0.41177093896440786</v>
      </c>
      <c r="S10" s="130"/>
      <c r="T10" s="148"/>
    </row>
    <row r="11" spans="1:20" ht="18.75" customHeight="1" thickBot="1">
      <c r="A11" s="12">
        <v>43358</v>
      </c>
      <c r="B11" s="121" t="s">
        <v>270</v>
      </c>
      <c r="C11" s="9" t="s">
        <v>271</v>
      </c>
      <c r="D11" s="11">
        <v>10</v>
      </c>
      <c r="E11" s="7" t="s">
        <v>287</v>
      </c>
      <c r="F11" s="125"/>
      <c r="G11" s="130"/>
      <c r="H11" s="164"/>
      <c r="I11" s="219" t="s">
        <v>267</v>
      </c>
      <c r="J11" s="220"/>
      <c r="K11" s="220"/>
      <c r="L11" s="221"/>
      <c r="M11" s="130"/>
      <c r="N11" s="130"/>
      <c r="O11" s="18">
        <f>система!DY51/0.24-1</f>
        <v>-0.14722311257229381</v>
      </c>
      <c r="P11" s="1">
        <v>2</v>
      </c>
      <c r="Q11" s="3">
        <v>2</v>
      </c>
      <c r="R11" s="18">
        <f>система!EA51/0.2-1</f>
        <v>0.2578690241185102</v>
      </c>
      <c r="S11" s="130"/>
      <c r="T11" s="148"/>
    </row>
    <row r="12" spans="1:20" ht="18.75" customHeight="1">
      <c r="A12" s="127"/>
      <c r="B12" s="128"/>
      <c r="C12" s="124"/>
      <c r="D12" s="124"/>
      <c r="E12" s="129"/>
      <c r="F12" s="125"/>
      <c r="G12" s="130"/>
      <c r="H12" s="165" t="s">
        <v>262</v>
      </c>
      <c r="I12" s="215" t="str">
        <f>IFERROR(система!L95,"")</f>
        <v>ТБ 3,5</v>
      </c>
      <c r="J12" s="216"/>
      <c r="K12" s="199" t="str">
        <f>IFERROR(система!K94,"п")</f>
        <v>99%</v>
      </c>
      <c r="L12" s="200"/>
      <c r="M12" s="130"/>
      <c r="N12" s="130"/>
      <c r="O12" s="18">
        <f>система!DY52/0.18-1</f>
        <v>-0.5755066160359863</v>
      </c>
      <c r="P12" s="1">
        <v>3</v>
      </c>
      <c r="Q12" s="3">
        <v>3</v>
      </c>
      <c r="R12" s="18">
        <f>система!EA52/0.15-1</f>
        <v>0.44906511578452402</v>
      </c>
      <c r="S12" s="130"/>
      <c r="T12" s="148"/>
    </row>
    <row r="13" spans="1:20" ht="18.75" customHeight="1" thickBot="1">
      <c r="A13" s="169"/>
      <c r="B13" s="170"/>
      <c r="C13" s="166"/>
      <c r="D13" s="166"/>
      <c r="E13" s="171"/>
      <c r="F13" s="126"/>
      <c r="G13" s="130"/>
      <c r="H13" s="165" t="s">
        <v>263</v>
      </c>
      <c r="I13" s="217"/>
      <c r="J13" s="218"/>
      <c r="K13" s="201"/>
      <c r="L13" s="202"/>
      <c r="M13" s="130"/>
      <c r="N13" s="130"/>
      <c r="O13" s="18">
        <f>система!DY53/0.2-1</f>
        <v>-0.89302766724106852</v>
      </c>
      <c r="P13" s="1">
        <v>4</v>
      </c>
      <c r="Q13" s="3">
        <v>4</v>
      </c>
      <c r="R13" s="18">
        <f>система!EA53/0.1-1</f>
        <v>0.40849129254255701</v>
      </c>
      <c r="S13" s="130"/>
      <c r="T13" s="148"/>
    </row>
    <row r="14" spans="1:20" ht="18.75" customHeight="1">
      <c r="A14" s="12">
        <v>43391</v>
      </c>
      <c r="B14" s="121" t="s">
        <v>270</v>
      </c>
      <c r="C14" s="9">
        <v>1</v>
      </c>
      <c r="D14" s="9" t="s">
        <v>272</v>
      </c>
      <c r="E14" s="7" t="s">
        <v>288</v>
      </c>
      <c r="F14" s="125"/>
      <c r="G14" s="130"/>
      <c r="H14" s="130"/>
      <c r="I14" s="130"/>
      <c r="J14" s="130"/>
      <c r="K14" s="130"/>
      <c r="L14" s="130"/>
      <c r="M14" s="130"/>
      <c r="N14" s="130"/>
      <c r="O14" s="18">
        <f>система!DY54/0.1-1</f>
        <v>-0.95207639492399876</v>
      </c>
      <c r="P14" s="1">
        <v>5</v>
      </c>
      <c r="Q14" s="3">
        <v>5</v>
      </c>
      <c r="R14" s="18">
        <f>система!EA54/0.1-1</f>
        <v>-0.26983811394593837</v>
      </c>
      <c r="S14" s="130"/>
      <c r="T14" s="148"/>
    </row>
    <row r="15" spans="1:20" ht="18.75" customHeight="1">
      <c r="A15" s="12">
        <v>43386</v>
      </c>
      <c r="B15" s="121" t="s">
        <v>270</v>
      </c>
      <c r="C15" s="9">
        <v>2</v>
      </c>
      <c r="D15" s="9" t="s">
        <v>272</v>
      </c>
      <c r="E15" s="7" t="s">
        <v>279</v>
      </c>
      <c r="F15" s="125"/>
      <c r="G15" s="130"/>
      <c r="H15" s="154"/>
      <c r="I15" s="141"/>
      <c r="J15" s="141"/>
      <c r="K15" s="141"/>
      <c r="L15" s="141"/>
      <c r="M15" s="130"/>
      <c r="N15" s="130"/>
      <c r="O15" s="18">
        <f>система!DY55/0.1-1</f>
        <v>-0.99105426038581312</v>
      </c>
      <c r="P15" s="1">
        <v>6</v>
      </c>
      <c r="Q15" s="3">
        <v>6</v>
      </c>
      <c r="R15" s="18">
        <f>система!EA55/0.1-1</f>
        <v>-0.68457006522464536</v>
      </c>
      <c r="S15" s="130"/>
      <c r="T15" s="148"/>
    </row>
    <row r="16" spans="1:20" ht="18.75" customHeight="1" thickBot="1">
      <c r="A16" s="12">
        <v>43384</v>
      </c>
      <c r="B16" s="121" t="s">
        <v>270</v>
      </c>
      <c r="C16" s="9">
        <v>3</v>
      </c>
      <c r="D16" s="9" t="s">
        <v>272</v>
      </c>
      <c r="E16" s="7" t="s">
        <v>284</v>
      </c>
      <c r="F16" s="125"/>
      <c r="G16" s="130"/>
      <c r="H16" s="130"/>
      <c r="I16" s="141"/>
      <c r="J16" s="141"/>
      <c r="K16" s="141"/>
      <c r="L16" s="141"/>
      <c r="M16" s="130"/>
      <c r="N16" s="130"/>
      <c r="O16" s="19">
        <f>система!DY56/0.1-1</f>
        <v>-0.99856868166173007</v>
      </c>
      <c r="P16" s="4">
        <v>7</v>
      </c>
      <c r="Q16" s="5">
        <v>7</v>
      </c>
      <c r="R16" s="19">
        <f>система!EA56/0.1-1</f>
        <v>-0.88320080129461154</v>
      </c>
      <c r="S16" s="130"/>
      <c r="T16" s="148"/>
    </row>
    <row r="17" spans="1:20" ht="18.75" customHeight="1" thickBot="1">
      <c r="A17" s="12">
        <v>43379</v>
      </c>
      <c r="B17" s="121" t="s">
        <v>270</v>
      </c>
      <c r="C17" s="9">
        <v>4</v>
      </c>
      <c r="D17" s="9" t="s">
        <v>272</v>
      </c>
      <c r="E17" s="7" t="s">
        <v>282</v>
      </c>
      <c r="F17" s="125"/>
      <c r="G17" s="130"/>
      <c r="H17" s="130"/>
      <c r="I17" s="141"/>
      <c r="J17" s="141"/>
      <c r="K17" s="141"/>
      <c r="L17" s="141"/>
      <c r="M17" s="130"/>
      <c r="N17" s="206" t="s">
        <v>268</v>
      </c>
      <c r="O17" s="207"/>
      <c r="P17" s="207"/>
      <c r="Q17" s="207"/>
      <c r="R17" s="207"/>
      <c r="S17" s="208"/>
      <c r="T17" s="148"/>
    </row>
    <row r="18" spans="1:20" ht="18.75" customHeight="1" thickBot="1">
      <c r="A18" s="12">
        <v>43378</v>
      </c>
      <c r="B18" s="121" t="s">
        <v>270</v>
      </c>
      <c r="C18" s="9">
        <v>5</v>
      </c>
      <c r="D18" s="9" t="s">
        <v>272</v>
      </c>
      <c r="E18" s="7" t="s">
        <v>284</v>
      </c>
      <c r="F18" s="132"/>
      <c r="G18" s="131"/>
      <c r="H18" s="135"/>
      <c r="I18" s="135"/>
      <c r="J18" s="135"/>
      <c r="K18" s="135"/>
      <c r="L18" s="135"/>
      <c r="M18" s="135"/>
      <c r="N18" s="131"/>
      <c r="O18" s="184"/>
      <c r="P18" s="185"/>
      <c r="Q18" s="185"/>
      <c r="R18" s="186"/>
      <c r="S18" s="130"/>
      <c r="T18" s="148"/>
    </row>
    <row r="19" spans="1:20" ht="18.75" customHeight="1">
      <c r="A19" s="12">
        <v>43373</v>
      </c>
      <c r="B19" s="121" t="s">
        <v>270</v>
      </c>
      <c r="C19" s="9">
        <v>6</v>
      </c>
      <c r="D19" s="9" t="s">
        <v>272</v>
      </c>
      <c r="E19" s="7" t="s">
        <v>283</v>
      </c>
      <c r="F19" s="132"/>
      <c r="G19" s="131"/>
      <c r="H19" s="135"/>
      <c r="I19" s="141"/>
      <c r="J19" s="141"/>
      <c r="K19" s="141"/>
      <c r="L19" s="141"/>
      <c r="M19" s="135"/>
      <c r="N19" s="131"/>
      <c r="O19" s="231" t="str">
        <f>IFERROR(CONCATENATE(O30," - ",Q30),"")</f>
        <v>1 - 3</v>
      </c>
      <c r="P19" s="232"/>
      <c r="Q19" s="232"/>
      <c r="R19" s="233"/>
      <c r="S19" s="130"/>
      <c r="T19" s="148"/>
    </row>
    <row r="20" spans="1:20" ht="18.75" customHeight="1" thickBot="1">
      <c r="A20" s="12">
        <v>43372</v>
      </c>
      <c r="B20" s="121" t="s">
        <v>270</v>
      </c>
      <c r="C20" s="9">
        <v>7</v>
      </c>
      <c r="D20" s="9" t="s">
        <v>272</v>
      </c>
      <c r="E20" s="7" t="s">
        <v>281</v>
      </c>
      <c r="F20" s="132"/>
      <c r="G20" s="131"/>
      <c r="H20" s="135"/>
      <c r="I20" s="135"/>
      <c r="J20" s="135"/>
      <c r="K20" s="135"/>
      <c r="L20" s="135"/>
      <c r="M20" s="135"/>
      <c r="N20" s="131"/>
      <c r="O20" s="234"/>
      <c r="P20" s="235"/>
      <c r="Q20" s="235"/>
      <c r="R20" s="236"/>
      <c r="S20" s="130"/>
      <c r="T20" s="148"/>
    </row>
    <row r="21" spans="1:20" ht="18.75" customHeight="1">
      <c r="A21" s="12">
        <v>43365</v>
      </c>
      <c r="B21" s="121" t="s">
        <v>270</v>
      </c>
      <c r="C21" s="9">
        <v>8</v>
      </c>
      <c r="D21" s="9" t="s">
        <v>272</v>
      </c>
      <c r="E21" s="7" t="s">
        <v>284</v>
      </c>
      <c r="F21" s="132"/>
      <c r="G21" s="131"/>
      <c r="H21" s="135"/>
      <c r="I21" s="135"/>
      <c r="J21" s="157"/>
      <c r="K21" s="135"/>
      <c r="L21" s="135"/>
      <c r="M21" s="135"/>
      <c r="N21" s="131"/>
      <c r="O21" s="183"/>
      <c r="P21" s="183"/>
      <c r="Q21" s="183"/>
      <c r="R21" s="183"/>
      <c r="S21" s="130"/>
      <c r="T21" s="148"/>
    </row>
    <row r="22" spans="1:20" ht="18.75" customHeight="1">
      <c r="A22" s="13">
        <v>43363</v>
      </c>
      <c r="B22" s="122" t="s">
        <v>270</v>
      </c>
      <c r="C22" s="10">
        <v>9</v>
      </c>
      <c r="D22" s="10" t="s">
        <v>272</v>
      </c>
      <c r="E22" s="8" t="s">
        <v>276</v>
      </c>
      <c r="F22" s="132"/>
      <c r="G22" s="131"/>
      <c r="H22" s="135"/>
      <c r="I22" s="135"/>
      <c r="J22" s="135"/>
      <c r="K22" s="135"/>
      <c r="L22" s="135"/>
      <c r="M22" s="135"/>
      <c r="N22" s="131"/>
      <c r="O22" s="159"/>
      <c r="P22" s="225"/>
      <c r="Q22" s="226"/>
      <c r="R22" s="159"/>
      <c r="S22" s="151"/>
      <c r="T22" s="151"/>
    </row>
    <row r="23" spans="1:20" ht="18.75" customHeight="1">
      <c r="A23" s="12">
        <v>43352</v>
      </c>
      <c r="B23" s="121" t="s">
        <v>270</v>
      </c>
      <c r="C23" s="9">
        <v>10</v>
      </c>
      <c r="D23" s="11" t="s">
        <v>272</v>
      </c>
      <c r="E23" s="7" t="s">
        <v>275</v>
      </c>
      <c r="F23" s="132"/>
      <c r="G23" s="131"/>
      <c r="H23" s="135"/>
      <c r="I23" s="135"/>
      <c r="J23" s="135"/>
      <c r="K23" s="135"/>
      <c r="L23" s="135"/>
      <c r="M23" s="158"/>
      <c r="N23" s="131"/>
      <c r="O23" s="159"/>
      <c r="P23" s="159"/>
      <c r="Q23" s="159"/>
      <c r="R23" s="159"/>
      <c r="S23" s="151"/>
      <c r="T23" s="151"/>
    </row>
    <row r="24" spans="1:20" ht="18.75" customHeight="1">
      <c r="A24" s="133"/>
      <c r="B24" s="134"/>
      <c r="C24" s="135"/>
      <c r="D24" s="135"/>
      <c r="E24" s="135"/>
      <c r="F24" s="132"/>
      <c r="G24" s="135"/>
      <c r="H24" s="131"/>
      <c r="I24" s="131"/>
      <c r="J24" s="131"/>
      <c r="K24" s="131"/>
      <c r="L24" s="131"/>
      <c r="M24" s="131"/>
      <c r="N24" s="131"/>
      <c r="O24" s="131"/>
      <c r="P24" s="141"/>
      <c r="Q24" s="141"/>
      <c r="R24" s="131"/>
      <c r="S24" s="131"/>
      <c r="T24" s="131"/>
    </row>
    <row r="25" spans="1:20" ht="18.75" customHeight="1">
      <c r="A25" s="136"/>
      <c r="B25" s="134"/>
      <c r="C25" s="135"/>
      <c r="D25" s="135"/>
      <c r="E25" s="135"/>
      <c r="F25" s="132"/>
      <c r="G25" s="135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</row>
    <row r="26" spans="1:20" ht="18.75" customHeight="1">
      <c r="A26" s="137"/>
      <c r="B26" s="134"/>
      <c r="C26" s="135"/>
      <c r="D26" s="135"/>
      <c r="E26" s="138"/>
      <c r="F26" s="132"/>
      <c r="G26" s="135"/>
      <c r="H26" s="131"/>
      <c r="I26" s="131"/>
      <c r="J26" s="131"/>
      <c r="K26" s="131"/>
      <c r="L26" s="131"/>
      <c r="M26" s="131"/>
      <c r="N26" s="131"/>
      <c r="O26" s="160"/>
      <c r="P26" s="160"/>
      <c r="Q26" s="160"/>
      <c r="R26" s="131"/>
      <c r="S26" s="131"/>
      <c r="T26" s="131"/>
    </row>
    <row r="27" spans="1:20" ht="12" customHeight="1">
      <c r="A27" s="137"/>
      <c r="B27" s="139"/>
      <c r="C27" s="135"/>
      <c r="D27" s="135"/>
      <c r="E27" s="138"/>
      <c r="F27" s="135"/>
      <c r="G27" s="135"/>
      <c r="H27" s="131"/>
      <c r="I27" s="131"/>
      <c r="J27" s="131"/>
      <c r="K27" s="131"/>
      <c r="L27" s="131"/>
      <c r="M27" s="131"/>
      <c r="N27" s="131"/>
      <c r="O27" s="161"/>
      <c r="P27" s="161"/>
      <c r="Q27" s="161"/>
      <c r="R27" s="131"/>
      <c r="S27" s="131"/>
      <c r="T27" s="131"/>
    </row>
    <row r="28" spans="1:20" ht="18.75" hidden="1" customHeight="1" thickBot="1">
      <c r="A28" s="137"/>
      <c r="B28" s="227" t="s">
        <v>264</v>
      </c>
      <c r="C28" s="228"/>
      <c r="D28" s="228"/>
      <c r="E28" s="229"/>
      <c r="F28" s="135"/>
      <c r="G28" s="173" t="s">
        <v>265</v>
      </c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</row>
    <row r="29" spans="1:20" ht="18.75" customHeight="1">
      <c r="A29" s="137"/>
      <c r="B29" s="139"/>
      <c r="C29" s="135"/>
      <c r="D29" s="135"/>
      <c r="E29" s="138"/>
      <c r="F29" s="135"/>
      <c r="G29" s="135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</row>
    <row r="30" spans="1:20" ht="18.75" hidden="1" customHeight="1">
      <c r="A30" s="163"/>
      <c r="B30" s="152"/>
      <c r="C30" s="155"/>
      <c r="D30" s="155"/>
      <c r="E30" s="156"/>
      <c r="F30" s="155"/>
      <c r="G30" s="155"/>
      <c r="H30" s="141"/>
      <c r="I30" s="141"/>
      <c r="J30" s="141"/>
      <c r="K30" s="141"/>
      <c r="L30" s="141"/>
      <c r="M30" s="141"/>
      <c r="N30" s="141"/>
      <c r="O30" s="162" t="str">
        <f>IF(O9=(MAX(O9:O16)),"0",IF(O10=(MAX(O9:O16)),"1",IF(O11=(MAX(O9:O16)),"2",IF(O12=(MAX(O9:O16)),"3",IF(O13=(MAX(O9:O16)),"4",IF(O14=(MAX(O9:O16)),"5",IF(O15=(MAX(O9:O16)),"6",IF(O16=(MAX(O9:O16)),"7"))))))))</f>
        <v>1</v>
      </c>
      <c r="P30" s="150"/>
      <c r="Q30" s="162" t="str">
        <f>IF(R9=(MAX(R9:R16)),"0",IF(R10=(MAX(R9:R16)),"1",IF(R11=(MAX(R9:R16)),"2",IF(R12=(MAX(R9:R16)),"3",IF(R13=(MAX(R9:R16)),"4",IF(R14=(MAX(R9:R16)),"5",IF(R15=(MAX(R9:R16)),"6",IF(R16=(MAX(R9:R16)),"7"))))))))</f>
        <v>3</v>
      </c>
      <c r="R30" s="141"/>
      <c r="S30" s="141"/>
      <c r="T30" s="141"/>
    </row>
    <row r="31" spans="1:20">
      <c r="A31" s="153"/>
      <c r="B31" s="153"/>
      <c r="C31" s="141"/>
      <c r="D31" s="141"/>
      <c r="E31" s="141"/>
      <c r="F31" s="155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</row>
    <row r="32" spans="1:20">
      <c r="A32" s="153"/>
      <c r="B32" s="153"/>
      <c r="C32" s="141"/>
      <c r="D32" s="141"/>
      <c r="E32" s="141"/>
      <c r="F32" s="155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</row>
    <row r="33" spans="1:20" ht="12.75" customHeight="1">
      <c r="A33" s="153"/>
      <c r="B33" s="153"/>
      <c r="C33" s="141"/>
      <c r="D33" s="141"/>
      <c r="E33" s="141"/>
      <c r="F33" s="155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</row>
    <row r="34" spans="1:20" ht="19.5" hidden="1" thickBot="1">
      <c r="A34" s="153"/>
      <c r="B34" s="174"/>
      <c r="C34" s="175"/>
      <c r="D34" s="175"/>
      <c r="E34" s="176"/>
      <c r="F34" s="155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</row>
    <row r="35" spans="1:20">
      <c r="A35" s="153"/>
      <c r="B35" s="153"/>
      <c r="C35" s="141"/>
      <c r="D35" s="141"/>
      <c r="E35" s="141"/>
      <c r="F35" s="155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</row>
    <row r="36" spans="1:20" ht="10.5" customHeight="1">
      <c r="A36" s="153"/>
      <c r="B36" s="153"/>
      <c r="C36" s="141"/>
      <c r="D36" s="141"/>
      <c r="E36" s="141"/>
      <c r="F36" s="155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</row>
    <row r="37" spans="1:20" hidden="1">
      <c r="A37" s="153"/>
      <c r="B37" s="177"/>
      <c r="C37" s="178"/>
      <c r="D37" s="178"/>
      <c r="E37" s="179"/>
      <c r="F37" s="155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</row>
    <row r="38" spans="1:20" ht="15.75" hidden="1" thickBot="1">
      <c r="A38" s="153"/>
      <c r="B38" s="180"/>
      <c r="C38" s="181"/>
      <c r="D38" s="181"/>
      <c r="E38" s="182"/>
      <c r="F38" s="155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</row>
    <row r="39" spans="1:20">
      <c r="A39" s="153"/>
      <c r="B39" s="153"/>
      <c r="C39" s="141"/>
      <c r="D39" s="141"/>
      <c r="E39" s="141"/>
      <c r="F39" s="155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</row>
    <row r="40" spans="1:20">
      <c r="A40" s="153"/>
      <c r="B40" s="153"/>
      <c r="C40" s="141"/>
      <c r="D40" s="141"/>
      <c r="E40" s="141"/>
      <c r="F40" s="155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</row>
    <row r="41" spans="1:20">
      <c r="A41" s="153"/>
      <c r="B41" s="153"/>
      <c r="C41" s="141"/>
      <c r="D41" s="141"/>
      <c r="E41" s="141"/>
      <c r="F41" s="155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</row>
    <row r="42" spans="1:20">
      <c r="A42" s="153"/>
      <c r="B42" s="153"/>
      <c r="C42" s="141"/>
      <c r="D42" s="141"/>
      <c r="E42" s="141"/>
      <c r="F42" s="155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</row>
    <row r="43" spans="1:20">
      <c r="A43" s="153"/>
      <c r="B43" s="153"/>
      <c r="C43" s="141"/>
      <c r="D43" s="141"/>
      <c r="E43" s="141"/>
      <c r="F43" s="155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</row>
    <row r="44" spans="1:20">
      <c r="A44" s="153"/>
      <c r="B44" s="153"/>
      <c r="C44" s="141"/>
      <c r="D44" s="141"/>
      <c r="E44" s="141"/>
      <c r="F44" s="155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</row>
    <row r="45" spans="1:20">
      <c r="A45" s="153"/>
      <c r="B45" s="153"/>
      <c r="C45" s="141"/>
      <c r="D45" s="141"/>
      <c r="E45" s="141"/>
      <c r="F45" s="155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</row>
    <row r="46" spans="1:20">
      <c r="A46" s="153"/>
      <c r="B46" s="153"/>
      <c r="C46" s="141"/>
      <c r="D46" s="141"/>
      <c r="E46" s="141"/>
      <c r="F46" s="155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</row>
    <row r="47" spans="1:20">
      <c r="A47" s="153"/>
      <c r="B47" s="153"/>
      <c r="C47" s="141"/>
      <c r="D47" s="141"/>
      <c r="E47" s="141"/>
      <c r="F47" s="155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</row>
    <row r="48" spans="1:20">
      <c r="A48" s="153"/>
      <c r="B48" s="153"/>
      <c r="C48" s="141"/>
      <c r="D48" s="141"/>
      <c r="E48" s="141"/>
      <c r="F48" s="155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</row>
    <row r="49" spans="1:20">
      <c r="A49" s="153"/>
      <c r="B49" s="153"/>
      <c r="C49" s="141"/>
      <c r="D49" s="141"/>
      <c r="E49" s="141"/>
      <c r="F49" s="155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</row>
    <row r="50" spans="1:20">
      <c r="A50" s="153"/>
      <c r="B50" s="153"/>
      <c r="C50" s="141"/>
      <c r="D50" s="141"/>
      <c r="E50" s="141"/>
      <c r="F50" s="155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</row>
    <row r="51" spans="1:20">
      <c r="A51" s="153"/>
      <c r="B51" s="153"/>
      <c r="C51" s="141"/>
      <c r="D51" s="141"/>
      <c r="E51" s="141"/>
      <c r="F51" s="155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</row>
    <row r="52" spans="1:20">
      <c r="A52" s="153"/>
      <c r="B52" s="153"/>
      <c r="C52" s="141"/>
      <c r="D52" s="141"/>
      <c r="E52" s="141"/>
      <c r="F52" s="155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</row>
    <row r="53" spans="1:20">
      <c r="A53" s="153"/>
      <c r="B53" s="153"/>
      <c r="C53" s="141"/>
      <c r="D53" s="141"/>
      <c r="E53" s="141"/>
      <c r="F53" s="155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</row>
    <row r="54" spans="1:20">
      <c r="A54" s="153"/>
      <c r="B54" s="153"/>
      <c r="C54" s="141"/>
      <c r="D54" s="141"/>
      <c r="E54" s="141"/>
      <c r="F54" s="155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</row>
    <row r="55" spans="1:20">
      <c r="A55" s="153"/>
      <c r="B55" s="153"/>
      <c r="C55" s="141"/>
      <c r="D55" s="141"/>
      <c r="E55" s="141"/>
      <c r="F55" s="155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</row>
    <row r="56" spans="1:20">
      <c r="A56" s="153"/>
      <c r="B56" s="153"/>
      <c r="C56" s="141"/>
      <c r="D56" s="141"/>
      <c r="E56" s="141"/>
      <c r="F56" s="155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</row>
    <row r="57" spans="1:20">
      <c r="A57" s="153"/>
      <c r="B57" s="153"/>
      <c r="C57" s="141"/>
      <c r="D57" s="141"/>
      <c r="E57" s="141"/>
      <c r="F57" s="155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</row>
    <row r="58" spans="1:20">
      <c r="A58" s="153"/>
      <c r="B58" s="153"/>
      <c r="C58" s="141"/>
      <c r="D58" s="141"/>
      <c r="E58" s="141"/>
      <c r="F58" s="155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</row>
    <row r="59" spans="1:20">
      <c r="A59" s="153"/>
      <c r="B59" s="153"/>
      <c r="C59" s="141"/>
      <c r="D59" s="141"/>
      <c r="E59" s="141"/>
      <c r="F59" s="155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</row>
    <row r="60" spans="1:20">
      <c r="A60" s="153"/>
      <c r="B60" s="153"/>
      <c r="C60" s="141"/>
      <c r="D60" s="141"/>
      <c r="E60" s="141"/>
      <c r="F60" s="155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</row>
    <row r="61" spans="1:20">
      <c r="A61" s="153"/>
      <c r="B61" s="153"/>
      <c r="C61" s="141"/>
      <c r="D61" s="141"/>
      <c r="E61" s="141"/>
      <c r="F61" s="155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</row>
    <row r="62" spans="1:20">
      <c r="A62" s="153"/>
      <c r="B62" s="153"/>
      <c r="C62" s="141"/>
      <c r="D62" s="141"/>
      <c r="E62" s="141"/>
      <c r="F62" s="155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</row>
    <row r="63" spans="1:20">
      <c r="A63" s="153"/>
      <c r="B63" s="153"/>
      <c r="C63" s="141"/>
      <c r="D63" s="141"/>
      <c r="E63" s="141"/>
      <c r="F63" s="155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</row>
    <row r="64" spans="1:20">
      <c r="A64" s="153"/>
      <c r="B64" s="153"/>
      <c r="C64" s="141"/>
      <c r="D64" s="141"/>
      <c r="E64" s="141"/>
      <c r="F64" s="155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</row>
    <row r="65" spans="1:20">
      <c r="A65" s="153"/>
      <c r="B65" s="153"/>
      <c r="C65" s="141"/>
      <c r="D65" s="141"/>
      <c r="E65" s="141"/>
      <c r="F65" s="155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</row>
    <row r="66" spans="1:20">
      <c r="A66" s="153"/>
      <c r="B66" s="153"/>
      <c r="C66" s="141"/>
      <c r="D66" s="141"/>
      <c r="E66" s="141"/>
      <c r="F66" s="155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</row>
    <row r="67" spans="1:20">
      <c r="A67" s="153"/>
      <c r="B67" s="153"/>
      <c r="C67" s="141"/>
      <c r="D67" s="141"/>
      <c r="E67" s="141"/>
      <c r="F67" s="155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</row>
    <row r="68" spans="1:20">
      <c r="A68" s="153"/>
      <c r="B68" s="153"/>
      <c r="C68" s="141"/>
      <c r="D68" s="141"/>
      <c r="E68" s="141"/>
      <c r="F68" s="155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</row>
    <row r="69" spans="1:20">
      <c r="A69" s="153"/>
      <c r="B69" s="153"/>
      <c r="C69" s="141"/>
      <c r="D69" s="141"/>
      <c r="E69" s="141"/>
      <c r="F69" s="155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</row>
    <row r="70" spans="1:20">
      <c r="A70" s="153"/>
      <c r="B70" s="153"/>
      <c r="C70" s="141"/>
      <c r="D70" s="141"/>
      <c r="E70" s="141"/>
      <c r="F70" s="155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</row>
    <row r="71" spans="1:20">
      <c r="A71" s="153"/>
      <c r="B71" s="153"/>
      <c r="C71" s="141"/>
      <c r="D71" s="141"/>
      <c r="E71" s="141"/>
      <c r="F71" s="155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</row>
    <row r="72" spans="1:20">
      <c r="A72" s="153"/>
      <c r="B72" s="153"/>
      <c r="C72" s="141"/>
      <c r="D72" s="141"/>
      <c r="E72" s="141"/>
      <c r="F72" s="155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</row>
    <row r="73" spans="1:20">
      <c r="A73" s="153"/>
      <c r="B73" s="153"/>
      <c r="C73" s="141"/>
      <c r="D73" s="141"/>
      <c r="E73" s="141"/>
      <c r="F73" s="155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</row>
    <row r="74" spans="1:20">
      <c r="A74" s="153"/>
      <c r="B74" s="153"/>
      <c r="C74" s="141"/>
      <c r="D74" s="141"/>
      <c r="E74" s="141"/>
      <c r="F74" s="155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</row>
    <row r="75" spans="1:20">
      <c r="A75" s="153"/>
      <c r="B75" s="153"/>
      <c r="C75" s="141"/>
      <c r="D75" s="141"/>
      <c r="E75" s="141"/>
      <c r="F75" s="155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</row>
    <row r="76" spans="1:20">
      <c r="A76" s="153"/>
      <c r="B76" s="153"/>
      <c r="C76" s="141"/>
      <c r="D76" s="141"/>
      <c r="E76" s="141"/>
      <c r="F76" s="155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</row>
    <row r="77" spans="1:20">
      <c r="A77" s="153"/>
      <c r="B77" s="153"/>
      <c r="C77" s="141"/>
      <c r="D77" s="141"/>
      <c r="E77" s="141"/>
      <c r="F77" s="155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</row>
    <row r="78" spans="1:20">
      <c r="A78" s="153"/>
      <c r="B78" s="153"/>
      <c r="C78" s="141"/>
      <c r="D78" s="141"/>
      <c r="E78" s="141"/>
      <c r="F78" s="155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</row>
    <row r="79" spans="1:20">
      <c r="A79" s="153"/>
      <c r="B79" s="153"/>
      <c r="C79" s="141"/>
      <c r="D79" s="141"/>
      <c r="E79" s="141"/>
      <c r="F79" s="155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</row>
    <row r="80" spans="1:20">
      <c r="A80" s="153"/>
      <c r="B80" s="153"/>
      <c r="C80" s="141"/>
      <c r="D80" s="141"/>
      <c r="E80" s="141"/>
      <c r="F80" s="155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</row>
    <row r="81" spans="1:20">
      <c r="A81" s="153"/>
      <c r="B81" s="153"/>
      <c r="C81" s="141"/>
      <c r="D81" s="141"/>
      <c r="E81" s="141"/>
      <c r="F81" s="155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</row>
    <row r="82" spans="1:20">
      <c r="A82" s="153"/>
      <c r="B82" s="153"/>
      <c r="C82" s="141"/>
      <c r="D82" s="141"/>
      <c r="E82" s="141"/>
      <c r="F82" s="155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</row>
    <row r="83" spans="1:20">
      <c r="A83" s="153"/>
      <c r="B83" s="153"/>
      <c r="C83" s="141"/>
      <c r="D83" s="141"/>
      <c r="E83" s="141"/>
      <c r="F83" s="155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</row>
    <row r="84" spans="1:20">
      <c r="A84" s="153"/>
      <c r="B84" s="153"/>
      <c r="C84" s="141"/>
      <c r="D84" s="141"/>
      <c r="E84" s="141"/>
      <c r="F84" s="155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</row>
    <row r="85" spans="1:20">
      <c r="A85" s="153"/>
      <c r="B85" s="153"/>
      <c r="C85" s="141"/>
      <c r="D85" s="141"/>
      <c r="E85" s="141"/>
      <c r="F85" s="155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</row>
    <row r="86" spans="1:20">
      <c r="A86" s="153"/>
      <c r="B86" s="153"/>
      <c r="C86" s="141"/>
      <c r="D86" s="141"/>
      <c r="E86" s="141"/>
      <c r="F86" s="155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</row>
    <row r="87" spans="1:20">
      <c r="A87" s="153"/>
      <c r="B87" s="153"/>
      <c r="C87" s="141"/>
      <c r="D87" s="141"/>
      <c r="E87" s="141"/>
      <c r="F87" s="155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</row>
    <row r="88" spans="1:20">
      <c r="A88" s="153"/>
      <c r="B88" s="153"/>
      <c r="C88" s="141"/>
      <c r="D88" s="141"/>
      <c r="E88" s="141"/>
      <c r="F88" s="155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</row>
    <row r="89" spans="1:20">
      <c r="A89" s="153"/>
      <c r="B89" s="153"/>
      <c r="C89" s="141"/>
      <c r="D89" s="141"/>
      <c r="E89" s="141"/>
      <c r="F89" s="155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</row>
    <row r="90" spans="1:20">
      <c r="A90" s="153"/>
      <c r="B90" s="153"/>
      <c r="C90" s="141"/>
      <c r="D90" s="141"/>
      <c r="E90" s="141"/>
      <c r="F90" s="155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</row>
    <row r="91" spans="1:20">
      <c r="A91" s="153"/>
      <c r="B91" s="153"/>
      <c r="C91" s="141"/>
      <c r="D91" s="141"/>
      <c r="E91" s="141"/>
      <c r="F91" s="155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</row>
    <row r="92" spans="1:20">
      <c r="A92" s="153"/>
      <c r="B92" s="153"/>
      <c r="C92" s="141"/>
      <c r="D92" s="141"/>
      <c r="E92" s="141"/>
      <c r="F92" s="155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</row>
    <row r="93" spans="1:20">
      <c r="A93" s="153"/>
      <c r="B93" s="153"/>
      <c r="C93" s="141"/>
      <c r="D93" s="141"/>
      <c r="E93" s="141"/>
      <c r="F93" s="155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</row>
    <row r="94" spans="1:20">
      <c r="A94" s="153"/>
      <c r="B94" s="153"/>
      <c r="C94" s="141"/>
      <c r="D94" s="141"/>
      <c r="E94" s="141"/>
      <c r="F94" s="155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</row>
    <row r="95" spans="1:20">
      <c r="A95" s="153"/>
      <c r="B95" s="153"/>
      <c r="C95" s="141"/>
      <c r="D95" s="141"/>
      <c r="E95" s="141"/>
      <c r="F95" s="155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</row>
    <row r="96" spans="1:20">
      <c r="A96" s="153"/>
      <c r="B96" s="153"/>
      <c r="C96" s="141"/>
      <c r="D96" s="141"/>
      <c r="E96" s="141"/>
      <c r="F96" s="155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</row>
    <row r="97" spans="1:20">
      <c r="A97" s="153"/>
      <c r="B97" s="153"/>
      <c r="C97" s="141"/>
      <c r="D97" s="141"/>
      <c r="E97" s="141"/>
      <c r="F97" s="155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</row>
    <row r="98" spans="1:20">
      <c r="A98" s="153"/>
      <c r="B98" s="153"/>
      <c r="C98" s="141"/>
      <c r="D98" s="141"/>
      <c r="E98" s="141"/>
      <c r="F98" s="155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</row>
    <row r="99" spans="1:20">
      <c r="A99" s="153"/>
      <c r="B99" s="153"/>
      <c r="C99" s="141"/>
      <c r="D99" s="141"/>
      <c r="E99" s="141"/>
      <c r="F99" s="155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</row>
    <row r="100" spans="1:20">
      <c r="A100" s="153"/>
      <c r="B100" s="153"/>
      <c r="C100" s="141"/>
      <c r="D100" s="141"/>
      <c r="E100" s="141"/>
      <c r="F100" s="155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</row>
    <row r="101" spans="1:20">
      <c r="A101" s="153"/>
      <c r="B101" s="153"/>
      <c r="C101" s="141"/>
      <c r="D101" s="141"/>
      <c r="E101" s="141"/>
      <c r="F101" s="155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</row>
    <row r="102" spans="1:20">
      <c r="A102" s="153"/>
      <c r="B102" s="153"/>
      <c r="C102" s="141"/>
      <c r="D102" s="141"/>
      <c r="E102" s="141"/>
      <c r="F102" s="155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</row>
    <row r="103" spans="1:20">
      <c r="A103" s="153"/>
      <c r="B103" s="153"/>
      <c r="C103" s="141"/>
      <c r="D103" s="141"/>
      <c r="E103" s="141"/>
      <c r="F103" s="155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</row>
    <row r="104" spans="1:20">
      <c r="A104" s="153"/>
      <c r="B104" s="153"/>
      <c r="C104" s="141"/>
      <c r="D104" s="141"/>
      <c r="E104" s="141"/>
      <c r="F104" s="155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</row>
    <row r="105" spans="1:20">
      <c r="A105" s="153"/>
      <c r="B105" s="153"/>
      <c r="C105" s="141"/>
      <c r="D105" s="141"/>
      <c r="E105" s="141"/>
      <c r="F105" s="155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</row>
    <row r="106" spans="1:20">
      <c r="A106" s="153"/>
      <c r="B106" s="153"/>
      <c r="C106" s="141"/>
      <c r="D106" s="141"/>
      <c r="E106" s="141"/>
      <c r="F106" s="155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</row>
    <row r="107" spans="1:20">
      <c r="A107" s="153"/>
      <c r="B107" s="153"/>
      <c r="C107" s="141"/>
      <c r="D107" s="141"/>
      <c r="E107" s="141"/>
      <c r="F107" s="155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</row>
    <row r="108" spans="1:20">
      <c r="A108" s="153"/>
      <c r="B108" s="153"/>
      <c r="C108" s="141"/>
      <c r="D108" s="141"/>
      <c r="E108" s="141"/>
      <c r="F108" s="155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</row>
    <row r="109" spans="1:20">
      <c r="A109" s="153"/>
      <c r="B109" s="153"/>
      <c r="C109" s="141"/>
      <c r="D109" s="141"/>
      <c r="E109" s="141"/>
      <c r="F109" s="155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</row>
    <row r="110" spans="1:20">
      <c r="A110" s="153"/>
      <c r="B110" s="153"/>
      <c r="C110" s="141"/>
      <c r="D110" s="141"/>
      <c r="E110" s="141"/>
      <c r="F110" s="155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</row>
    <row r="111" spans="1:20">
      <c r="A111" s="153"/>
      <c r="B111" s="153"/>
      <c r="C111" s="141"/>
      <c r="D111" s="141"/>
      <c r="E111" s="141"/>
      <c r="F111" s="155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</row>
    <row r="112" spans="1:20">
      <c r="A112" s="153"/>
      <c r="B112" s="153"/>
      <c r="C112" s="141"/>
      <c r="D112" s="141"/>
      <c r="E112" s="141"/>
      <c r="F112" s="155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</row>
    <row r="113" spans="1:20">
      <c r="A113" s="153"/>
      <c r="B113" s="153"/>
      <c r="C113" s="141"/>
      <c r="D113" s="141"/>
      <c r="E113" s="141"/>
      <c r="F113" s="155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</row>
    <row r="114" spans="1:20">
      <c r="A114" s="153"/>
      <c r="B114" s="153"/>
      <c r="C114" s="141"/>
      <c r="D114" s="141"/>
      <c r="E114" s="141"/>
      <c r="F114" s="155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</row>
    <row r="115" spans="1:20">
      <c r="A115" s="153"/>
      <c r="B115" s="153"/>
      <c r="C115" s="141"/>
      <c r="D115" s="141"/>
      <c r="E115" s="141"/>
      <c r="F115" s="155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</row>
    <row r="116" spans="1:20">
      <c r="A116" s="153"/>
      <c r="B116" s="153"/>
      <c r="C116" s="141"/>
      <c r="D116" s="141"/>
      <c r="E116" s="141"/>
      <c r="F116" s="155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</row>
    <row r="117" spans="1:20">
      <c r="A117" s="153"/>
      <c r="B117" s="153"/>
      <c r="C117" s="141"/>
      <c r="D117" s="141"/>
      <c r="E117" s="141"/>
      <c r="F117" s="155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</row>
    <row r="118" spans="1:20">
      <c r="A118" s="153"/>
      <c r="B118" s="153"/>
      <c r="C118" s="141"/>
      <c r="D118" s="141"/>
      <c r="E118" s="141"/>
      <c r="F118" s="155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</row>
    <row r="119" spans="1:20">
      <c r="A119" s="153"/>
      <c r="B119" s="153"/>
      <c r="C119" s="141"/>
      <c r="D119" s="141"/>
      <c r="E119" s="141"/>
      <c r="F119" s="155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</row>
    <row r="120" spans="1:20">
      <c r="A120" s="153"/>
      <c r="B120" s="153"/>
      <c r="C120" s="141"/>
      <c r="D120" s="141"/>
      <c r="E120" s="141"/>
      <c r="F120" s="155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</row>
    <row r="121" spans="1:20">
      <c r="A121" s="153"/>
      <c r="B121" s="153"/>
      <c r="C121" s="141"/>
      <c r="D121" s="141"/>
      <c r="E121" s="141"/>
      <c r="F121" s="155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</row>
    <row r="122" spans="1:20">
      <c r="A122" s="153"/>
      <c r="B122" s="153"/>
      <c r="C122" s="141"/>
      <c r="D122" s="141"/>
      <c r="E122" s="141"/>
      <c r="F122" s="155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</row>
    <row r="123" spans="1:20">
      <c r="A123" s="153"/>
      <c r="B123" s="153"/>
      <c r="C123" s="141"/>
      <c r="D123" s="141"/>
      <c r="E123" s="141"/>
      <c r="F123" s="155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</row>
    <row r="124" spans="1:20">
      <c r="A124" s="153"/>
      <c r="B124" s="153"/>
      <c r="C124" s="141"/>
      <c r="D124" s="141"/>
      <c r="E124" s="141"/>
      <c r="F124" s="155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</row>
    <row r="125" spans="1:20">
      <c r="A125" s="153"/>
      <c r="B125" s="153"/>
      <c r="C125" s="141"/>
      <c r="D125" s="141"/>
      <c r="E125" s="141"/>
      <c r="F125" s="155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</row>
    <row r="126" spans="1:20">
      <c r="A126" s="153"/>
      <c r="B126" s="153"/>
      <c r="C126" s="141"/>
      <c r="D126" s="141"/>
      <c r="E126" s="141"/>
      <c r="F126" s="155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</row>
    <row r="127" spans="1:20">
      <c r="A127" s="153"/>
      <c r="B127" s="153"/>
      <c r="C127" s="141"/>
      <c r="D127" s="141"/>
      <c r="E127" s="141"/>
      <c r="F127" s="155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</row>
    <row r="128" spans="1:20">
      <c r="A128" s="153"/>
      <c r="B128" s="153"/>
      <c r="C128" s="141"/>
      <c r="D128" s="141"/>
      <c r="E128" s="141"/>
      <c r="F128" s="155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</row>
    <row r="129" spans="1:20">
      <c r="A129" s="153"/>
      <c r="B129" s="153"/>
      <c r="C129" s="141"/>
      <c r="D129" s="141"/>
      <c r="E129" s="141"/>
      <c r="F129" s="155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</row>
    <row r="130" spans="1:20">
      <c r="A130" s="153"/>
      <c r="B130" s="153"/>
      <c r="C130" s="141"/>
      <c r="D130" s="141"/>
      <c r="E130" s="141"/>
      <c r="F130" s="155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</row>
    <row r="131" spans="1:20">
      <c r="A131" s="153"/>
      <c r="B131" s="153"/>
      <c r="C131" s="141"/>
      <c r="D131" s="141"/>
      <c r="E131" s="141"/>
      <c r="F131" s="155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</row>
    <row r="132" spans="1:20">
      <c r="A132" s="153"/>
      <c r="B132" s="153"/>
      <c r="C132" s="141"/>
      <c r="D132" s="141"/>
      <c r="E132" s="141"/>
      <c r="F132" s="155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</row>
    <row r="133" spans="1:20">
      <c r="A133" s="153"/>
      <c r="B133" s="153"/>
      <c r="C133" s="141"/>
      <c r="D133" s="141"/>
      <c r="E133" s="141"/>
      <c r="F133" s="155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</row>
    <row r="134" spans="1:20">
      <c r="A134" s="153"/>
      <c r="B134" s="153"/>
      <c r="C134" s="141"/>
      <c r="D134" s="141"/>
      <c r="E134" s="141"/>
      <c r="F134" s="155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</row>
    <row r="135" spans="1:20">
      <c r="A135" s="153"/>
      <c r="B135" s="153"/>
      <c r="C135" s="141"/>
      <c r="D135" s="141"/>
      <c r="E135" s="141"/>
      <c r="F135" s="155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</row>
    <row r="136" spans="1:20">
      <c r="A136" s="153"/>
      <c r="B136" s="153"/>
      <c r="C136" s="141"/>
      <c r="D136" s="141"/>
      <c r="E136" s="141"/>
      <c r="F136" s="155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</row>
    <row r="137" spans="1:20">
      <c r="A137" s="153"/>
      <c r="B137" s="153"/>
      <c r="C137" s="141"/>
      <c r="D137" s="141"/>
      <c r="E137" s="141"/>
      <c r="F137" s="155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</row>
    <row r="138" spans="1:20">
      <c r="A138" s="153"/>
      <c r="B138" s="153"/>
      <c r="C138" s="141"/>
      <c r="D138" s="141"/>
      <c r="E138" s="141"/>
      <c r="F138" s="155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</row>
    <row r="139" spans="1:20">
      <c r="A139" s="153"/>
      <c r="B139" s="153"/>
      <c r="C139" s="141"/>
      <c r="D139" s="141"/>
      <c r="E139" s="141"/>
      <c r="F139" s="155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</row>
    <row r="140" spans="1:20">
      <c r="A140" s="153"/>
      <c r="B140" s="153"/>
      <c r="C140" s="141"/>
      <c r="D140" s="141"/>
      <c r="E140" s="141"/>
      <c r="F140" s="155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</row>
    <row r="141" spans="1:20">
      <c r="A141" s="153"/>
      <c r="B141" s="153"/>
      <c r="C141" s="141"/>
      <c r="D141" s="141"/>
      <c r="E141" s="141"/>
      <c r="F141" s="155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</row>
    <row r="142" spans="1:20">
      <c r="A142" s="153"/>
      <c r="B142" s="153"/>
      <c r="C142" s="141"/>
      <c r="D142" s="141"/>
      <c r="E142" s="141"/>
      <c r="F142" s="155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</row>
    <row r="143" spans="1:20">
      <c r="A143" s="153"/>
      <c r="B143" s="153"/>
      <c r="C143" s="141"/>
      <c r="D143" s="141"/>
      <c r="E143" s="141"/>
      <c r="F143" s="155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</row>
    <row r="144" spans="1:20">
      <c r="A144" s="153"/>
      <c r="B144" s="153"/>
      <c r="C144" s="141"/>
      <c r="D144" s="141"/>
      <c r="E144" s="141"/>
      <c r="F144" s="155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</row>
    <row r="145" spans="1:20">
      <c r="A145" s="153"/>
      <c r="B145" s="153"/>
      <c r="C145" s="141"/>
      <c r="D145" s="141"/>
      <c r="E145" s="141"/>
      <c r="F145" s="155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</row>
    <row r="146" spans="1:20">
      <c r="A146" s="153"/>
      <c r="B146" s="153"/>
      <c r="C146" s="141"/>
      <c r="D146" s="141"/>
      <c r="E146" s="141"/>
      <c r="F146" s="155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</row>
    <row r="147" spans="1:20">
      <c r="A147" s="153"/>
      <c r="B147" s="153"/>
      <c r="C147" s="141"/>
      <c r="D147" s="141"/>
      <c r="E147" s="141"/>
      <c r="F147" s="155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</row>
    <row r="148" spans="1:20">
      <c r="A148" s="153"/>
      <c r="B148" s="153"/>
      <c r="C148" s="141"/>
      <c r="D148" s="141"/>
      <c r="E148" s="141"/>
      <c r="F148" s="155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</row>
    <row r="149" spans="1:20">
      <c r="A149" s="153"/>
      <c r="B149" s="153"/>
      <c r="C149" s="141"/>
      <c r="D149" s="141"/>
      <c r="E149" s="141"/>
      <c r="F149" s="155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</row>
    <row r="150" spans="1:20">
      <c r="A150" s="153"/>
      <c r="B150" s="153"/>
      <c r="C150" s="141"/>
      <c r="D150" s="141"/>
      <c r="E150" s="141"/>
      <c r="F150" s="155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</row>
    <row r="151" spans="1:20">
      <c r="A151" s="153"/>
      <c r="B151" s="153"/>
      <c r="C151" s="141"/>
      <c r="D151" s="141"/>
      <c r="E151" s="141"/>
      <c r="F151" s="155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</row>
    <row r="152" spans="1:20">
      <c r="A152" s="153"/>
      <c r="B152" s="153"/>
      <c r="C152" s="141"/>
      <c r="D152" s="141"/>
      <c r="E152" s="141"/>
      <c r="F152" s="155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</row>
    <row r="153" spans="1:20">
      <c r="A153" s="153"/>
      <c r="B153" s="153"/>
      <c r="C153" s="141"/>
      <c r="D153" s="141"/>
      <c r="E153" s="141"/>
      <c r="F153" s="155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</row>
    <row r="154" spans="1:20">
      <c r="A154" s="153"/>
      <c r="B154" s="153"/>
      <c r="C154" s="141"/>
      <c r="D154" s="141"/>
      <c r="E154" s="141"/>
      <c r="F154" s="155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</row>
    <row r="155" spans="1:20">
      <c r="A155" s="153"/>
      <c r="B155" s="153"/>
      <c r="C155" s="141"/>
      <c r="D155" s="141"/>
      <c r="E155" s="141"/>
      <c r="F155" s="155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</row>
    <row r="156" spans="1:20">
      <c r="A156" s="153"/>
      <c r="B156" s="153"/>
      <c r="C156" s="141"/>
      <c r="D156" s="141"/>
      <c r="E156" s="141"/>
      <c r="F156" s="155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</row>
    <row r="157" spans="1:20">
      <c r="A157" s="153"/>
      <c r="B157" s="153"/>
      <c r="C157" s="141"/>
      <c r="D157" s="141"/>
      <c r="E157" s="141"/>
      <c r="F157" s="155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</row>
    <row r="158" spans="1:20">
      <c r="A158" s="153"/>
      <c r="B158" s="153"/>
      <c r="C158" s="141"/>
      <c r="D158" s="141"/>
      <c r="E158" s="141"/>
      <c r="F158" s="155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</row>
    <row r="159" spans="1:20">
      <c r="A159" s="153"/>
      <c r="B159" s="153"/>
      <c r="C159" s="141"/>
      <c r="D159" s="141"/>
      <c r="E159" s="141"/>
      <c r="F159" s="155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</row>
    <row r="160" spans="1:20">
      <c r="A160" s="153"/>
      <c r="B160" s="153"/>
      <c r="C160" s="141"/>
      <c r="D160" s="141"/>
      <c r="E160" s="141"/>
      <c r="F160" s="155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</row>
    <row r="161" spans="1:20">
      <c r="A161" s="153"/>
      <c r="B161" s="153"/>
      <c r="C161" s="141"/>
      <c r="D161" s="141"/>
      <c r="E161" s="141"/>
      <c r="F161" s="155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</row>
    <row r="162" spans="1:20">
      <c r="A162" s="153"/>
      <c r="B162" s="153"/>
      <c r="C162" s="141"/>
      <c r="D162" s="141"/>
      <c r="E162" s="141"/>
      <c r="F162" s="155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</row>
    <row r="163" spans="1:20">
      <c r="A163" s="153"/>
      <c r="B163" s="153"/>
      <c r="C163" s="141"/>
      <c r="D163" s="141"/>
      <c r="E163" s="141"/>
      <c r="F163" s="155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</row>
    <row r="164" spans="1:20">
      <c r="A164" s="153"/>
      <c r="B164" s="153"/>
      <c r="C164" s="141"/>
      <c r="D164" s="141"/>
      <c r="E164" s="141"/>
      <c r="F164" s="155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</row>
    <row r="165" spans="1:20">
      <c r="A165" s="153"/>
      <c r="B165" s="153"/>
      <c r="C165" s="141"/>
      <c r="D165" s="141"/>
      <c r="E165" s="141"/>
      <c r="F165" s="155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</row>
    <row r="166" spans="1:20">
      <c r="A166" s="153"/>
      <c r="B166" s="153"/>
      <c r="C166" s="141"/>
      <c r="D166" s="141"/>
      <c r="E166" s="141"/>
      <c r="F166" s="155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</row>
    <row r="167" spans="1:20">
      <c r="A167" s="153"/>
      <c r="B167" s="153"/>
      <c r="C167" s="141"/>
      <c r="D167" s="141"/>
      <c r="E167" s="141"/>
      <c r="F167" s="155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</row>
    <row r="168" spans="1:20">
      <c r="A168" s="153"/>
      <c r="B168" s="153"/>
      <c r="C168" s="141"/>
      <c r="D168" s="141"/>
      <c r="E168" s="141"/>
      <c r="F168" s="155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</row>
    <row r="169" spans="1:20">
      <c r="A169" s="153"/>
      <c r="B169" s="153"/>
      <c r="C169" s="141"/>
      <c r="D169" s="141"/>
      <c r="E169" s="141"/>
      <c r="F169" s="155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</row>
    <row r="170" spans="1:20">
      <c r="A170" s="153"/>
      <c r="B170" s="153"/>
      <c r="C170" s="141"/>
      <c r="D170" s="141"/>
      <c r="E170" s="141"/>
      <c r="F170" s="155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</row>
    <row r="171" spans="1:20">
      <c r="A171" s="153"/>
      <c r="B171" s="153"/>
      <c r="C171" s="141"/>
      <c r="D171" s="141"/>
      <c r="E171" s="141"/>
      <c r="F171" s="155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</row>
    <row r="172" spans="1:20">
      <c r="A172" s="153"/>
      <c r="B172" s="153"/>
      <c r="C172" s="141"/>
      <c r="D172" s="141"/>
      <c r="E172" s="141"/>
      <c r="F172" s="155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</row>
    <row r="173" spans="1:20">
      <c r="A173" s="153"/>
      <c r="B173" s="153"/>
      <c r="C173" s="141"/>
      <c r="D173" s="141"/>
      <c r="E173" s="141"/>
      <c r="F173" s="155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</row>
    <row r="174" spans="1:20">
      <c r="A174" s="153"/>
      <c r="B174" s="153"/>
      <c r="C174" s="141"/>
      <c r="D174" s="141"/>
      <c r="E174" s="141"/>
      <c r="F174" s="155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</row>
    <row r="175" spans="1:20">
      <c r="A175" s="153"/>
      <c r="B175" s="153"/>
      <c r="C175" s="141"/>
      <c r="D175" s="141"/>
      <c r="E175" s="141"/>
      <c r="F175" s="155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</row>
    <row r="176" spans="1:20">
      <c r="A176" s="153"/>
      <c r="B176" s="153"/>
      <c r="C176" s="141"/>
      <c r="D176" s="141"/>
      <c r="E176" s="141"/>
      <c r="F176" s="155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</row>
    <row r="177" spans="1:20">
      <c r="A177" s="153"/>
      <c r="B177" s="153"/>
      <c r="C177" s="141"/>
      <c r="D177" s="141"/>
      <c r="E177" s="141"/>
      <c r="F177" s="155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</row>
    <row r="178" spans="1:20">
      <c r="A178" s="153"/>
      <c r="B178" s="153"/>
      <c r="C178" s="141"/>
      <c r="D178" s="141"/>
      <c r="E178" s="141"/>
      <c r="F178" s="155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</row>
    <row r="179" spans="1:20">
      <c r="A179" s="153"/>
      <c r="B179" s="153"/>
      <c r="C179" s="141"/>
      <c r="D179" s="141"/>
      <c r="E179" s="141"/>
      <c r="F179" s="155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</row>
    <row r="180" spans="1:20">
      <c r="A180" s="153"/>
      <c r="B180" s="153"/>
      <c r="C180" s="141"/>
      <c r="D180" s="141"/>
      <c r="E180" s="141"/>
      <c r="F180" s="155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</row>
    <row r="181" spans="1:20">
      <c r="A181" s="153"/>
      <c r="B181" s="153"/>
      <c r="C181" s="141"/>
      <c r="D181" s="141"/>
      <c r="E181" s="141"/>
      <c r="F181" s="155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</row>
    <row r="182" spans="1:20">
      <c r="A182" s="153"/>
      <c r="B182" s="153"/>
      <c r="C182" s="141"/>
      <c r="D182" s="141"/>
      <c r="E182" s="141"/>
      <c r="F182" s="155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</row>
    <row r="183" spans="1:20">
      <c r="A183" s="153"/>
      <c r="B183" s="153"/>
      <c r="C183" s="141"/>
      <c r="D183" s="141"/>
      <c r="E183" s="141"/>
      <c r="F183" s="155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</row>
    <row r="184" spans="1:20">
      <c r="A184" s="153"/>
      <c r="B184" s="153"/>
      <c r="C184" s="141"/>
      <c r="D184" s="141"/>
      <c r="E184" s="141"/>
      <c r="F184" s="155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</row>
    <row r="185" spans="1:20">
      <c r="A185" s="153"/>
      <c r="B185" s="153"/>
      <c r="C185" s="141"/>
      <c r="D185" s="141"/>
      <c r="E185" s="141"/>
      <c r="F185" s="155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</row>
    <row r="186" spans="1:20">
      <c r="A186" s="153"/>
      <c r="B186" s="153"/>
      <c r="C186" s="141"/>
      <c r="D186" s="141"/>
      <c r="E186" s="141"/>
      <c r="F186" s="155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</row>
    <row r="187" spans="1:20">
      <c r="A187" s="153"/>
      <c r="B187" s="153"/>
      <c r="C187" s="141"/>
      <c r="D187" s="141"/>
      <c r="E187" s="141"/>
      <c r="F187" s="155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</row>
    <row r="188" spans="1:20">
      <c r="A188" s="153"/>
      <c r="B188" s="153"/>
      <c r="C188" s="141"/>
      <c r="D188" s="141"/>
      <c r="E188" s="141"/>
      <c r="F188" s="155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</row>
    <row r="189" spans="1:20">
      <c r="A189" s="153"/>
      <c r="B189" s="153"/>
      <c r="C189" s="141"/>
      <c r="D189" s="141"/>
      <c r="E189" s="141"/>
      <c r="F189" s="155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</row>
    <row r="190" spans="1:20">
      <c r="A190" s="153"/>
      <c r="B190" s="153"/>
      <c r="C190" s="141"/>
      <c r="D190" s="141"/>
      <c r="E190" s="141"/>
      <c r="F190" s="155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</row>
    <row r="191" spans="1:20">
      <c r="A191" s="153"/>
      <c r="B191" s="153"/>
      <c r="C191" s="141"/>
      <c r="D191" s="141"/>
      <c r="E191" s="141"/>
      <c r="F191" s="155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</row>
    <row r="192" spans="1:20">
      <c r="A192" s="153"/>
      <c r="B192" s="153"/>
      <c r="C192" s="141"/>
      <c r="D192" s="141"/>
      <c r="E192" s="141"/>
      <c r="F192" s="155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</row>
    <row r="193" spans="1:20">
      <c r="A193" s="153"/>
      <c r="B193" s="153"/>
      <c r="C193" s="141"/>
      <c r="D193" s="141"/>
      <c r="E193" s="141"/>
      <c r="F193" s="155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</row>
    <row r="194" spans="1:20">
      <c r="A194" s="153"/>
      <c r="B194" s="153"/>
      <c r="C194" s="141"/>
      <c r="D194" s="141"/>
      <c r="E194" s="141"/>
      <c r="F194" s="155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</row>
    <row r="195" spans="1:20">
      <c r="A195" s="153"/>
      <c r="B195" s="153"/>
      <c r="C195" s="141"/>
      <c r="D195" s="141"/>
      <c r="E195" s="141"/>
      <c r="F195" s="155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</row>
    <row r="196" spans="1:20">
      <c r="A196" s="153"/>
      <c r="B196" s="153"/>
      <c r="C196" s="141"/>
      <c r="D196" s="141"/>
      <c r="E196" s="141"/>
      <c r="F196" s="155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</row>
    <row r="197" spans="1:20">
      <c r="A197" s="153"/>
      <c r="B197" s="153"/>
      <c r="C197" s="141"/>
      <c r="D197" s="141"/>
      <c r="E197" s="141"/>
      <c r="F197" s="155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</row>
    <row r="198" spans="1:20">
      <c r="A198" s="153"/>
      <c r="B198" s="153"/>
      <c r="C198" s="141"/>
      <c r="D198" s="141"/>
      <c r="E198" s="141"/>
      <c r="F198" s="155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</row>
    <row r="199" spans="1:20">
      <c r="A199" s="153"/>
      <c r="B199" s="153"/>
      <c r="C199" s="141"/>
      <c r="D199" s="141"/>
      <c r="E199" s="141"/>
      <c r="F199" s="155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</row>
    <row r="200" spans="1:20">
      <c r="A200" s="153"/>
      <c r="B200" s="153"/>
      <c r="C200" s="141"/>
      <c r="D200" s="141"/>
      <c r="E200" s="141"/>
      <c r="F200" s="155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</row>
    <row r="201" spans="1:20">
      <c r="A201" s="153"/>
      <c r="B201" s="153"/>
      <c r="C201" s="141"/>
      <c r="D201" s="141"/>
      <c r="E201" s="141"/>
      <c r="F201" s="155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</row>
    <row r="202" spans="1:20">
      <c r="A202" s="153"/>
      <c r="B202" s="153"/>
      <c r="C202" s="141"/>
      <c r="D202" s="141"/>
      <c r="E202" s="141"/>
      <c r="F202" s="155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</row>
    <row r="203" spans="1:20">
      <c r="A203" s="153"/>
      <c r="B203" s="153"/>
      <c r="C203" s="141"/>
      <c r="D203" s="141"/>
      <c r="E203" s="141"/>
      <c r="F203" s="155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</row>
    <row r="204" spans="1:20">
      <c r="A204" s="153"/>
      <c r="B204" s="153"/>
      <c r="C204" s="141"/>
      <c r="D204" s="141"/>
      <c r="E204" s="141"/>
      <c r="F204" s="155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</row>
    <row r="205" spans="1:20">
      <c r="A205" s="153"/>
      <c r="B205" s="153"/>
      <c r="C205" s="141"/>
      <c r="D205" s="141"/>
      <c r="E205" s="141"/>
      <c r="F205" s="155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</row>
    <row r="206" spans="1:20">
      <c r="A206" s="153"/>
      <c r="B206" s="153"/>
      <c r="C206" s="141"/>
      <c r="D206" s="141"/>
      <c r="E206" s="141"/>
      <c r="F206" s="155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</row>
    <row r="207" spans="1:20">
      <c r="A207" s="153"/>
      <c r="B207" s="153"/>
      <c r="C207" s="141"/>
      <c r="D207" s="141"/>
      <c r="E207" s="141"/>
      <c r="F207" s="155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</row>
    <row r="208" spans="1:20">
      <c r="A208" s="153"/>
      <c r="B208" s="153"/>
      <c r="C208" s="141"/>
      <c r="D208" s="141"/>
      <c r="E208" s="141"/>
      <c r="F208" s="155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</row>
    <row r="209" spans="1:20">
      <c r="A209" s="153"/>
      <c r="B209" s="153"/>
      <c r="C209" s="141"/>
      <c r="D209" s="141"/>
      <c r="E209" s="141"/>
      <c r="F209" s="155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</row>
    <row r="210" spans="1:20">
      <c r="A210" s="153"/>
      <c r="B210" s="153"/>
      <c r="C210" s="141"/>
      <c r="D210" s="141"/>
      <c r="E210" s="141"/>
      <c r="F210" s="155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</row>
    <row r="211" spans="1:20">
      <c r="A211" s="153"/>
      <c r="B211" s="153"/>
      <c r="C211" s="141"/>
      <c r="D211" s="141"/>
      <c r="E211" s="141"/>
      <c r="F211" s="155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</row>
    <row r="212" spans="1:20">
      <c r="A212" s="153"/>
      <c r="B212" s="153"/>
      <c r="C212" s="141"/>
      <c r="D212" s="141"/>
      <c r="E212" s="141"/>
      <c r="F212" s="155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</row>
    <row r="213" spans="1:20">
      <c r="A213" s="153"/>
      <c r="B213" s="153"/>
      <c r="C213" s="141"/>
      <c r="D213" s="141"/>
      <c r="E213" s="141"/>
      <c r="F213" s="155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</row>
    <row r="214" spans="1:20">
      <c r="A214" s="153"/>
      <c r="B214" s="153"/>
      <c r="C214" s="141"/>
      <c r="D214" s="141"/>
      <c r="E214" s="141"/>
      <c r="F214" s="155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</row>
    <row r="215" spans="1:20">
      <c r="A215" s="153"/>
      <c r="B215" s="153"/>
      <c r="C215" s="141"/>
      <c r="D215" s="141"/>
      <c r="E215" s="141"/>
      <c r="F215" s="155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</row>
    <row r="216" spans="1:20">
      <c r="A216" s="153"/>
      <c r="B216" s="153"/>
      <c r="C216" s="141"/>
      <c r="D216" s="141"/>
      <c r="E216" s="141"/>
      <c r="F216" s="155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</row>
    <row r="217" spans="1:20">
      <c r="A217" s="153"/>
      <c r="B217" s="153"/>
      <c r="C217" s="141"/>
      <c r="D217" s="141"/>
      <c r="E217" s="141"/>
      <c r="F217" s="155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</row>
    <row r="218" spans="1:20">
      <c r="A218" s="153"/>
      <c r="B218" s="153"/>
      <c r="C218" s="141"/>
      <c r="D218" s="141"/>
      <c r="E218" s="141"/>
      <c r="F218" s="155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</row>
    <row r="219" spans="1:20">
      <c r="A219" s="153"/>
      <c r="B219" s="153"/>
      <c r="C219" s="141"/>
      <c r="D219" s="141"/>
      <c r="E219" s="141"/>
      <c r="F219" s="155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</row>
    <row r="220" spans="1:20">
      <c r="A220" s="153"/>
      <c r="B220" s="153"/>
      <c r="C220" s="141"/>
      <c r="D220" s="141"/>
      <c r="E220" s="141"/>
      <c r="F220" s="155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</row>
    <row r="221" spans="1:20">
      <c r="A221" s="153"/>
      <c r="B221" s="153"/>
      <c r="C221" s="141"/>
      <c r="D221" s="141"/>
      <c r="E221" s="141"/>
      <c r="F221" s="155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</row>
    <row r="222" spans="1:20">
      <c r="A222" s="153"/>
      <c r="B222" s="153"/>
      <c r="C222" s="141"/>
      <c r="D222" s="141"/>
      <c r="E222" s="141"/>
      <c r="F222" s="155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</row>
    <row r="223" spans="1:20">
      <c r="A223" s="153"/>
      <c r="B223" s="153"/>
      <c r="C223" s="141"/>
      <c r="D223" s="141"/>
      <c r="E223" s="141"/>
      <c r="F223" s="155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</row>
    <row r="224" spans="1:20">
      <c r="A224" s="153"/>
      <c r="B224" s="153"/>
      <c r="C224" s="141"/>
      <c r="D224" s="141"/>
      <c r="E224" s="141"/>
      <c r="F224" s="155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</row>
    <row r="225" spans="1:20">
      <c r="A225" s="153"/>
      <c r="B225" s="153"/>
      <c r="C225" s="141"/>
      <c r="D225" s="141"/>
      <c r="E225" s="141"/>
      <c r="F225" s="155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</row>
    <row r="226" spans="1:20">
      <c r="A226" s="153"/>
      <c r="B226" s="153"/>
      <c r="C226" s="141"/>
      <c r="D226" s="141"/>
      <c r="E226" s="141"/>
      <c r="F226" s="155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</row>
    <row r="227" spans="1:20">
      <c r="A227" s="153"/>
      <c r="B227" s="153"/>
      <c r="C227" s="141"/>
      <c r="D227" s="141"/>
      <c r="E227" s="141"/>
      <c r="F227" s="155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</row>
    <row r="228" spans="1:20">
      <c r="A228" s="153"/>
      <c r="B228" s="153"/>
      <c r="C228" s="141"/>
      <c r="D228" s="141"/>
      <c r="E228" s="141"/>
      <c r="F228" s="155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</row>
    <row r="229" spans="1:20">
      <c r="A229" s="153"/>
      <c r="B229" s="153"/>
      <c r="C229" s="141"/>
      <c r="D229" s="141"/>
      <c r="E229" s="141"/>
      <c r="F229" s="155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</row>
    <row r="230" spans="1:20">
      <c r="A230" s="153"/>
      <c r="B230" s="153"/>
      <c r="C230" s="141"/>
      <c r="D230" s="141"/>
      <c r="E230" s="141"/>
      <c r="F230" s="155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</row>
    <row r="231" spans="1:20">
      <c r="A231" s="153"/>
      <c r="B231" s="153"/>
      <c r="C231" s="141"/>
      <c r="D231" s="141"/>
      <c r="E231" s="141"/>
      <c r="F231" s="155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</row>
    <row r="232" spans="1:20">
      <c r="A232" s="153"/>
      <c r="B232" s="153"/>
      <c r="C232" s="141"/>
      <c r="D232" s="141"/>
      <c r="E232" s="141"/>
      <c r="F232" s="155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</row>
    <row r="233" spans="1:20">
      <c r="A233" s="153"/>
      <c r="B233" s="153"/>
      <c r="C233" s="141"/>
      <c r="D233" s="141"/>
      <c r="E233" s="141"/>
      <c r="F233" s="155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</row>
    <row r="234" spans="1:20">
      <c r="A234" s="153"/>
      <c r="B234" s="153"/>
      <c r="C234" s="141"/>
      <c r="D234" s="141"/>
      <c r="E234" s="141"/>
      <c r="F234" s="155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</row>
    <row r="235" spans="1:20">
      <c r="A235" s="153"/>
      <c r="B235" s="153"/>
      <c r="C235" s="141"/>
      <c r="D235" s="141"/>
      <c r="E235" s="141"/>
      <c r="F235" s="155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</row>
    <row r="236" spans="1:20">
      <c r="A236" s="153"/>
      <c r="B236" s="153"/>
      <c r="C236" s="141"/>
      <c r="D236" s="141"/>
      <c r="E236" s="141"/>
      <c r="F236" s="155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</row>
    <row r="237" spans="1:20">
      <c r="A237" s="153"/>
      <c r="B237" s="153"/>
      <c r="C237" s="141"/>
      <c r="D237" s="141"/>
      <c r="E237" s="141"/>
      <c r="F237" s="155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</row>
    <row r="238" spans="1:20">
      <c r="A238" s="153"/>
      <c r="B238" s="153"/>
      <c r="C238" s="141"/>
      <c r="D238" s="141"/>
      <c r="E238" s="141"/>
      <c r="F238" s="155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</row>
    <row r="239" spans="1:20">
      <c r="A239" s="153"/>
      <c r="B239" s="153"/>
      <c r="C239" s="141"/>
      <c r="D239" s="141"/>
      <c r="E239" s="141"/>
      <c r="F239" s="155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</row>
    <row r="240" spans="1:20">
      <c r="A240" s="153"/>
      <c r="B240" s="153"/>
      <c r="C240" s="141"/>
      <c r="D240" s="141"/>
      <c r="E240" s="141"/>
      <c r="F240" s="155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</row>
    <row r="241" spans="1:20">
      <c r="A241" s="153"/>
      <c r="B241" s="153"/>
      <c r="C241" s="141"/>
      <c r="D241" s="141"/>
      <c r="E241" s="141"/>
      <c r="F241" s="155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</row>
    <row r="242" spans="1:20">
      <c r="A242" s="153"/>
      <c r="B242" s="153"/>
      <c r="C242" s="141"/>
      <c r="D242" s="141"/>
      <c r="E242" s="141"/>
      <c r="F242" s="155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</row>
    <row r="243" spans="1:20">
      <c r="A243" s="153"/>
      <c r="B243" s="153"/>
      <c r="C243" s="141"/>
      <c r="D243" s="141"/>
      <c r="E243" s="141"/>
      <c r="F243" s="155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</row>
    <row r="244" spans="1:20">
      <c r="A244" s="153"/>
      <c r="B244" s="153"/>
      <c r="C244" s="141"/>
      <c r="D244" s="141"/>
      <c r="E244" s="141"/>
      <c r="F244" s="155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</row>
    <row r="245" spans="1:20">
      <c r="A245" s="153"/>
      <c r="B245" s="153"/>
      <c r="C245" s="141"/>
      <c r="D245" s="141"/>
      <c r="E245" s="141"/>
      <c r="F245" s="155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</row>
    <row r="246" spans="1:20">
      <c r="A246" s="153"/>
      <c r="B246" s="153"/>
      <c r="C246" s="141"/>
      <c r="D246" s="141"/>
      <c r="E246" s="141"/>
      <c r="F246" s="155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</row>
    <row r="247" spans="1:20">
      <c r="A247" s="153"/>
      <c r="B247" s="153"/>
      <c r="C247" s="141"/>
      <c r="D247" s="141"/>
      <c r="E247" s="141"/>
      <c r="F247" s="155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</row>
    <row r="248" spans="1:20">
      <c r="A248" s="153"/>
      <c r="B248" s="153"/>
      <c r="C248" s="141"/>
      <c r="D248" s="141"/>
      <c r="E248" s="141"/>
      <c r="F248" s="155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</row>
    <row r="249" spans="1:20">
      <c r="A249" s="153"/>
      <c r="B249" s="153"/>
      <c r="C249" s="141"/>
      <c r="D249" s="141"/>
      <c r="E249" s="141"/>
      <c r="F249" s="155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</row>
    <row r="250" spans="1:20">
      <c r="A250" s="153"/>
      <c r="B250" s="153"/>
      <c r="C250" s="141"/>
      <c r="D250" s="141"/>
      <c r="E250" s="141"/>
      <c r="F250" s="155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</row>
    <row r="251" spans="1:20">
      <c r="A251" s="153"/>
      <c r="B251" s="153"/>
      <c r="C251" s="141"/>
      <c r="D251" s="141"/>
      <c r="E251" s="141"/>
      <c r="F251" s="155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</row>
    <row r="252" spans="1:20">
      <c r="A252" s="153"/>
      <c r="B252" s="153"/>
      <c r="C252" s="141"/>
      <c r="D252" s="141"/>
      <c r="E252" s="141"/>
      <c r="F252" s="155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</row>
    <row r="253" spans="1:20">
      <c r="A253" s="153"/>
      <c r="B253" s="153"/>
      <c r="C253" s="141"/>
      <c r="D253" s="141"/>
      <c r="E253" s="141"/>
      <c r="F253" s="155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</row>
    <row r="254" spans="1:20">
      <c r="A254" s="153"/>
      <c r="B254" s="153"/>
      <c r="C254" s="141"/>
      <c r="D254" s="141"/>
      <c r="E254" s="141"/>
      <c r="F254" s="155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</row>
    <row r="255" spans="1:20">
      <c r="A255" s="153"/>
      <c r="B255" s="153"/>
      <c r="C255" s="141"/>
      <c r="D255" s="141"/>
      <c r="E255" s="141"/>
      <c r="F255" s="155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</row>
    <row r="256" spans="1:20">
      <c r="A256" s="153"/>
      <c r="B256" s="153"/>
      <c r="C256" s="141"/>
      <c r="D256" s="141"/>
      <c r="E256" s="141"/>
      <c r="F256" s="155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</row>
    <row r="257" spans="1:20">
      <c r="A257" s="153"/>
      <c r="B257" s="153"/>
      <c r="C257" s="141"/>
      <c r="D257" s="141"/>
      <c r="E257" s="141"/>
      <c r="F257" s="155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</row>
    <row r="258" spans="1:20">
      <c r="A258" s="153"/>
      <c r="B258" s="153"/>
      <c r="C258" s="141"/>
      <c r="D258" s="141"/>
      <c r="E258" s="141"/>
      <c r="F258" s="155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</row>
    <row r="259" spans="1:20">
      <c r="A259" s="153"/>
      <c r="B259" s="153"/>
      <c r="C259" s="141"/>
      <c r="D259" s="141"/>
      <c r="E259" s="141"/>
      <c r="F259" s="155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</row>
    <row r="260" spans="1:20">
      <c r="A260" s="153"/>
      <c r="B260" s="153"/>
      <c r="C260" s="141"/>
      <c r="D260" s="141"/>
      <c r="E260" s="141"/>
      <c r="F260" s="155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</row>
    <row r="261" spans="1:20">
      <c r="A261" s="153"/>
      <c r="B261" s="153"/>
      <c r="C261" s="141"/>
      <c r="D261" s="141"/>
      <c r="E261" s="141"/>
      <c r="F261" s="155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</row>
    <row r="262" spans="1:20">
      <c r="A262" s="153"/>
      <c r="B262" s="153"/>
      <c r="C262" s="141"/>
      <c r="D262" s="141"/>
      <c r="E262" s="141"/>
      <c r="F262" s="155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</row>
    <row r="263" spans="1:20">
      <c r="A263" s="153"/>
      <c r="B263" s="153"/>
      <c r="C263" s="141"/>
      <c r="D263" s="141"/>
      <c r="E263" s="141"/>
      <c r="F263" s="155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</row>
    <row r="264" spans="1:20">
      <c r="A264" s="153"/>
      <c r="B264" s="153"/>
      <c r="C264" s="141"/>
      <c r="D264" s="141"/>
      <c r="E264" s="141"/>
      <c r="F264" s="155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</row>
    <row r="265" spans="1:20">
      <c r="A265" s="153"/>
      <c r="B265" s="153"/>
      <c r="C265" s="141"/>
      <c r="D265" s="141"/>
      <c r="E265" s="141"/>
      <c r="F265" s="155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</row>
    <row r="266" spans="1:20">
      <c r="A266" s="153"/>
      <c r="B266" s="153"/>
      <c r="C266" s="141"/>
      <c r="D266" s="141"/>
      <c r="E266" s="141"/>
      <c r="F266" s="155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</row>
    <row r="267" spans="1:20">
      <c r="A267" s="153"/>
      <c r="B267" s="153"/>
      <c r="C267" s="141"/>
      <c r="D267" s="141"/>
      <c r="E267" s="141"/>
      <c r="F267" s="155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</row>
    <row r="268" spans="1:20">
      <c r="A268" s="153"/>
      <c r="B268" s="153"/>
      <c r="C268" s="141"/>
      <c r="D268" s="141"/>
      <c r="E268" s="141"/>
      <c r="F268" s="155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</row>
    <row r="269" spans="1:20">
      <c r="A269" s="153"/>
      <c r="B269" s="153"/>
      <c r="C269" s="141"/>
      <c r="D269" s="141"/>
      <c r="E269" s="141"/>
      <c r="F269" s="155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</row>
    <row r="270" spans="1:20">
      <c r="A270" s="153"/>
      <c r="B270" s="153"/>
      <c r="C270" s="141"/>
      <c r="D270" s="141"/>
      <c r="E270" s="141"/>
      <c r="F270" s="155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</row>
    <row r="271" spans="1:20">
      <c r="A271" s="153"/>
      <c r="B271" s="153"/>
      <c r="C271" s="141"/>
      <c r="D271" s="141"/>
      <c r="E271" s="141"/>
      <c r="F271" s="155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</row>
    <row r="272" spans="1:20">
      <c r="A272" s="153"/>
      <c r="B272" s="153"/>
      <c r="C272" s="141"/>
      <c r="D272" s="141"/>
      <c r="E272" s="141"/>
      <c r="F272" s="155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</row>
    <row r="273" spans="1:20">
      <c r="A273" s="153"/>
      <c r="B273" s="153"/>
      <c r="C273" s="141"/>
      <c r="D273" s="141"/>
      <c r="E273" s="141"/>
      <c r="F273" s="155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</row>
    <row r="274" spans="1:20">
      <c r="A274" s="153"/>
      <c r="B274" s="153"/>
      <c r="C274" s="141"/>
      <c r="D274" s="141"/>
      <c r="E274" s="141"/>
      <c r="F274" s="155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</row>
    <row r="275" spans="1:20">
      <c r="A275" s="153"/>
      <c r="B275" s="153"/>
      <c r="C275" s="141"/>
      <c r="D275" s="141"/>
      <c r="E275" s="141"/>
      <c r="F275" s="155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</row>
    <row r="276" spans="1:20">
      <c r="A276" s="153"/>
      <c r="B276" s="153"/>
      <c r="C276" s="141"/>
      <c r="D276" s="141"/>
      <c r="E276" s="141"/>
      <c r="F276" s="155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</row>
    <row r="277" spans="1:20">
      <c r="A277" s="153"/>
      <c r="B277" s="153"/>
      <c r="C277" s="141"/>
      <c r="D277" s="141"/>
      <c r="E277" s="141"/>
      <c r="F277" s="155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</row>
    <row r="278" spans="1:20">
      <c r="A278" s="153"/>
      <c r="B278" s="153"/>
      <c r="C278" s="141"/>
      <c r="D278" s="141"/>
      <c r="E278" s="141"/>
      <c r="F278" s="155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</row>
    <row r="279" spans="1:20">
      <c r="A279" s="153"/>
      <c r="B279" s="153"/>
      <c r="C279" s="141"/>
      <c r="D279" s="141"/>
      <c r="E279" s="141"/>
      <c r="F279" s="155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</row>
    <row r="280" spans="1:20">
      <c r="A280" s="153"/>
      <c r="B280" s="153"/>
      <c r="C280" s="141"/>
      <c r="D280" s="141"/>
      <c r="E280" s="141"/>
      <c r="F280" s="155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</row>
    <row r="281" spans="1:20">
      <c r="A281" s="153"/>
      <c r="B281" s="153"/>
      <c r="C281" s="141"/>
      <c r="D281" s="141"/>
      <c r="E281" s="141"/>
      <c r="F281" s="155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</row>
    <row r="282" spans="1:20">
      <c r="A282" s="153"/>
      <c r="B282" s="153"/>
      <c r="C282" s="141"/>
      <c r="D282" s="141"/>
      <c r="E282" s="141"/>
      <c r="F282" s="155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</row>
    <row r="283" spans="1:20">
      <c r="A283" s="153"/>
      <c r="B283" s="153"/>
      <c r="C283" s="141"/>
      <c r="D283" s="141"/>
      <c r="E283" s="141"/>
      <c r="F283" s="155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</row>
    <row r="284" spans="1:20">
      <c r="A284" s="153"/>
      <c r="B284" s="153"/>
      <c r="C284" s="141"/>
      <c r="D284" s="141"/>
      <c r="E284" s="141"/>
      <c r="F284" s="155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</row>
    <row r="285" spans="1:20">
      <c r="A285" s="153"/>
      <c r="B285" s="153"/>
      <c r="C285" s="141"/>
      <c r="D285" s="141"/>
      <c r="E285" s="141"/>
      <c r="F285" s="155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</row>
    <row r="286" spans="1:20">
      <c r="A286" s="153"/>
      <c r="B286" s="153"/>
      <c r="C286" s="141"/>
      <c r="D286" s="141"/>
      <c r="E286" s="141"/>
      <c r="F286" s="155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</row>
    <row r="287" spans="1:20">
      <c r="A287" s="153"/>
      <c r="B287" s="153"/>
      <c r="C287" s="141"/>
      <c r="D287" s="141"/>
      <c r="E287" s="141"/>
      <c r="F287" s="155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</row>
    <row r="288" spans="1:20">
      <c r="A288" s="153"/>
      <c r="B288" s="153"/>
      <c r="C288" s="141"/>
      <c r="D288" s="141"/>
      <c r="E288" s="141"/>
      <c r="F288" s="155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</row>
    <row r="289" spans="1:20">
      <c r="A289" s="153"/>
      <c r="B289" s="153"/>
      <c r="C289" s="141"/>
      <c r="D289" s="141"/>
      <c r="E289" s="141"/>
      <c r="F289" s="155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</row>
    <row r="290" spans="1:20">
      <c r="A290" s="153"/>
      <c r="B290" s="153"/>
      <c r="C290" s="141"/>
      <c r="D290" s="141"/>
      <c r="E290" s="141"/>
      <c r="F290" s="155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</row>
    <row r="291" spans="1:20">
      <c r="A291" s="153"/>
      <c r="B291" s="153"/>
      <c r="C291" s="141"/>
      <c r="D291" s="141"/>
      <c r="E291" s="141"/>
      <c r="F291" s="155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</row>
    <row r="292" spans="1:20">
      <c r="A292" s="153"/>
      <c r="B292" s="153"/>
      <c r="C292" s="141"/>
      <c r="D292" s="141"/>
      <c r="E292" s="141"/>
      <c r="F292" s="155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</row>
    <row r="293" spans="1:20">
      <c r="A293" s="153"/>
      <c r="B293" s="153"/>
      <c r="C293" s="141"/>
      <c r="D293" s="141"/>
      <c r="E293" s="141"/>
      <c r="F293" s="155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</row>
    <row r="294" spans="1:20">
      <c r="A294" s="153"/>
      <c r="B294" s="153"/>
      <c r="C294" s="141"/>
      <c r="D294" s="141"/>
      <c r="E294" s="141"/>
      <c r="F294" s="155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</row>
    <row r="295" spans="1:20">
      <c r="A295" s="153"/>
      <c r="B295" s="153"/>
      <c r="C295" s="141"/>
      <c r="D295" s="141"/>
      <c r="E295" s="141"/>
      <c r="F295" s="155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</row>
    <row r="296" spans="1:20">
      <c r="A296" s="153"/>
      <c r="B296" s="153"/>
      <c r="C296" s="141"/>
      <c r="D296" s="141"/>
      <c r="E296" s="141"/>
      <c r="F296" s="155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</row>
    <row r="297" spans="1:20">
      <c r="A297" s="153"/>
      <c r="B297" s="153"/>
      <c r="C297" s="141"/>
      <c r="D297" s="141"/>
      <c r="E297" s="141"/>
      <c r="F297" s="155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</row>
    <row r="298" spans="1:20">
      <c r="A298" s="153"/>
      <c r="B298" s="153"/>
      <c r="C298" s="141"/>
      <c r="D298" s="141"/>
      <c r="E298" s="141"/>
      <c r="F298" s="155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</row>
    <row r="299" spans="1:20">
      <c r="A299" s="153"/>
      <c r="B299" s="153"/>
      <c r="C299" s="141"/>
      <c r="D299" s="141"/>
      <c r="E299" s="141"/>
      <c r="F299" s="155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</row>
    <row r="300" spans="1:20">
      <c r="A300" s="153"/>
      <c r="B300" s="153"/>
      <c r="C300" s="141"/>
      <c r="D300" s="141"/>
      <c r="E300" s="141"/>
      <c r="F300" s="155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</row>
    <row r="301" spans="1:20">
      <c r="A301" s="153"/>
      <c r="B301" s="153"/>
      <c r="C301" s="141"/>
      <c r="D301" s="141"/>
      <c r="E301" s="141"/>
      <c r="F301" s="155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</row>
    <row r="302" spans="1:20">
      <c r="A302" s="153"/>
      <c r="B302" s="153"/>
      <c r="C302" s="141"/>
      <c r="D302" s="141"/>
      <c r="E302" s="141"/>
      <c r="F302" s="155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</row>
    <row r="303" spans="1:20">
      <c r="A303" s="153"/>
      <c r="B303" s="153"/>
      <c r="C303" s="141"/>
      <c r="D303" s="141"/>
      <c r="E303" s="141"/>
      <c r="F303" s="155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</row>
    <row r="304" spans="1:20">
      <c r="A304" s="153"/>
      <c r="B304" s="153"/>
      <c r="C304" s="141"/>
      <c r="D304" s="141"/>
      <c r="E304" s="141"/>
      <c r="F304" s="155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</row>
    <row r="305" spans="1:20">
      <c r="A305" s="153"/>
      <c r="B305" s="153"/>
      <c r="C305" s="141"/>
      <c r="D305" s="141"/>
      <c r="E305" s="141"/>
      <c r="F305" s="155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</row>
    <row r="306" spans="1:20">
      <c r="A306" s="153"/>
      <c r="B306" s="153"/>
      <c r="C306" s="141"/>
      <c r="D306" s="141"/>
      <c r="E306" s="141"/>
      <c r="F306" s="155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</row>
    <row r="307" spans="1:20">
      <c r="A307" s="153"/>
      <c r="B307" s="153"/>
      <c r="C307" s="141"/>
      <c r="D307" s="141"/>
      <c r="E307" s="141"/>
      <c r="F307" s="155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</row>
    <row r="308" spans="1:20">
      <c r="A308" s="153"/>
      <c r="B308" s="153"/>
      <c r="C308" s="141"/>
      <c r="D308" s="141"/>
      <c r="E308" s="141"/>
      <c r="F308" s="155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</row>
    <row r="309" spans="1:20">
      <c r="A309" s="153"/>
      <c r="B309" s="153"/>
      <c r="C309" s="141"/>
      <c r="D309" s="141"/>
      <c r="E309" s="141"/>
      <c r="F309" s="155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</row>
    <row r="310" spans="1:20">
      <c r="A310" s="153"/>
      <c r="B310" s="153"/>
      <c r="C310" s="141"/>
      <c r="D310" s="141"/>
      <c r="E310" s="141"/>
      <c r="F310" s="155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</row>
    <row r="311" spans="1:20">
      <c r="A311" s="153"/>
      <c r="B311" s="153"/>
      <c r="C311" s="141"/>
      <c r="D311" s="141"/>
      <c r="E311" s="141"/>
      <c r="F311" s="155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</row>
    <row r="312" spans="1:20">
      <c r="A312" s="153"/>
      <c r="B312" s="153"/>
      <c r="C312" s="141"/>
      <c r="D312" s="141"/>
      <c r="E312" s="141"/>
      <c r="F312" s="155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</row>
    <row r="313" spans="1:20">
      <c r="A313" s="153"/>
      <c r="B313" s="153"/>
      <c r="C313" s="141"/>
      <c r="D313" s="141"/>
      <c r="E313" s="141"/>
      <c r="F313" s="155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</row>
    <row r="314" spans="1:20">
      <c r="A314" s="153"/>
      <c r="B314" s="153"/>
      <c r="C314" s="141"/>
      <c r="D314" s="141"/>
      <c r="E314" s="141"/>
      <c r="F314" s="155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</row>
    <row r="315" spans="1:20">
      <c r="A315" s="153"/>
      <c r="B315" s="153"/>
      <c r="C315" s="141"/>
      <c r="D315" s="141"/>
      <c r="E315" s="141"/>
      <c r="F315" s="155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</row>
    <row r="316" spans="1:20">
      <c r="A316" s="153"/>
      <c r="B316" s="153"/>
      <c r="C316" s="141"/>
      <c r="D316" s="141"/>
      <c r="E316" s="141"/>
      <c r="F316" s="155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</row>
    <row r="317" spans="1:20">
      <c r="A317" s="153"/>
      <c r="B317" s="153"/>
      <c r="C317" s="141"/>
      <c r="D317" s="141"/>
      <c r="E317" s="141"/>
      <c r="F317" s="155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</row>
    <row r="318" spans="1:20">
      <c r="A318" s="153"/>
      <c r="B318" s="153"/>
      <c r="C318" s="141"/>
      <c r="D318" s="141"/>
      <c r="E318" s="141"/>
      <c r="F318" s="155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</row>
    <row r="319" spans="1:20">
      <c r="A319" s="153"/>
      <c r="B319" s="153"/>
      <c r="C319" s="141"/>
      <c r="D319" s="141"/>
      <c r="E319" s="141"/>
      <c r="F319" s="155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</row>
    <row r="320" spans="1:20">
      <c r="A320" s="153"/>
      <c r="B320" s="153"/>
      <c r="C320" s="141"/>
      <c r="D320" s="141"/>
      <c r="E320" s="141"/>
      <c r="F320" s="155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</row>
    <row r="321" spans="1:20">
      <c r="A321" s="153"/>
      <c r="B321" s="153"/>
      <c r="C321" s="141"/>
      <c r="D321" s="141"/>
      <c r="E321" s="141"/>
      <c r="F321" s="155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</row>
    <row r="322" spans="1:20">
      <c r="A322" s="153"/>
      <c r="B322" s="153"/>
      <c r="C322" s="141"/>
      <c r="D322" s="141"/>
      <c r="E322" s="141"/>
      <c r="F322" s="155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</row>
    <row r="323" spans="1:20">
      <c r="A323" s="153"/>
      <c r="B323" s="153"/>
      <c r="C323" s="141"/>
      <c r="D323" s="141"/>
      <c r="E323" s="141"/>
      <c r="F323" s="155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</row>
    <row r="324" spans="1:20">
      <c r="A324" s="153"/>
      <c r="B324" s="153"/>
      <c r="C324" s="141"/>
      <c r="D324" s="141"/>
      <c r="E324" s="141"/>
      <c r="F324" s="155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</row>
    <row r="325" spans="1:20">
      <c r="A325" s="153"/>
      <c r="B325" s="153"/>
      <c r="C325" s="141"/>
      <c r="D325" s="141"/>
      <c r="E325" s="141"/>
      <c r="F325" s="155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</row>
    <row r="326" spans="1:20">
      <c r="A326" s="153"/>
      <c r="B326" s="153"/>
      <c r="C326" s="141"/>
      <c r="D326" s="141"/>
      <c r="E326" s="141"/>
      <c r="F326" s="155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</row>
    <row r="327" spans="1:20">
      <c r="A327" s="153"/>
      <c r="B327" s="153"/>
      <c r="C327" s="141"/>
      <c r="D327" s="141"/>
      <c r="E327" s="141"/>
      <c r="F327" s="155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</row>
    <row r="328" spans="1:20">
      <c r="A328" s="153"/>
      <c r="B328" s="153"/>
      <c r="C328" s="141"/>
      <c r="D328" s="141"/>
      <c r="E328" s="141"/>
      <c r="F328" s="155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</row>
    <row r="329" spans="1:20">
      <c r="A329" s="153"/>
      <c r="B329" s="153"/>
      <c r="C329" s="141"/>
      <c r="D329" s="141"/>
      <c r="E329" s="141"/>
      <c r="F329" s="155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</row>
    <row r="330" spans="1:20">
      <c r="A330" s="153"/>
      <c r="B330" s="153"/>
      <c r="C330" s="141"/>
      <c r="D330" s="141"/>
      <c r="E330" s="141"/>
      <c r="F330" s="155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</row>
    <row r="331" spans="1:20">
      <c r="A331" s="153"/>
      <c r="B331" s="153"/>
      <c r="C331" s="141"/>
      <c r="D331" s="141"/>
      <c r="E331" s="141"/>
      <c r="F331" s="155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</row>
    <row r="332" spans="1:20">
      <c r="A332" s="153"/>
      <c r="B332" s="153"/>
      <c r="C332" s="141"/>
      <c r="D332" s="141"/>
      <c r="E332" s="141"/>
      <c r="F332" s="155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</row>
    <row r="333" spans="1:20">
      <c r="A333" s="153"/>
      <c r="B333" s="153"/>
      <c r="C333" s="141"/>
      <c r="D333" s="141"/>
      <c r="E333" s="141"/>
      <c r="F333" s="155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</row>
    <row r="334" spans="1:20">
      <c r="A334" s="153"/>
      <c r="B334" s="153"/>
      <c r="C334" s="141"/>
      <c r="D334" s="141"/>
      <c r="E334" s="141"/>
      <c r="F334" s="155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</row>
    <row r="335" spans="1:20">
      <c r="A335" s="153"/>
      <c r="B335" s="153"/>
      <c r="C335" s="141"/>
      <c r="D335" s="141"/>
      <c r="E335" s="141"/>
      <c r="F335" s="155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</row>
    <row r="336" spans="1:20">
      <c r="A336" s="153"/>
      <c r="B336" s="153"/>
      <c r="C336" s="141"/>
      <c r="D336" s="141"/>
      <c r="E336" s="141"/>
      <c r="F336" s="155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</row>
    <row r="337" spans="1:20">
      <c r="A337" s="153"/>
      <c r="B337" s="153"/>
      <c r="C337" s="141"/>
      <c r="D337" s="141"/>
      <c r="E337" s="141"/>
      <c r="F337" s="155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</row>
    <row r="338" spans="1:20">
      <c r="A338" s="153"/>
      <c r="B338" s="153"/>
      <c r="C338" s="141"/>
      <c r="D338" s="141"/>
      <c r="E338" s="141"/>
      <c r="F338" s="155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</row>
    <row r="339" spans="1:20">
      <c r="A339" s="153"/>
      <c r="B339" s="153"/>
      <c r="C339" s="141"/>
      <c r="D339" s="141"/>
      <c r="E339" s="141"/>
      <c r="F339" s="155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</row>
    <row r="340" spans="1:20">
      <c r="A340" s="153"/>
      <c r="B340" s="153"/>
      <c r="C340" s="141"/>
      <c r="D340" s="141"/>
      <c r="E340" s="141"/>
      <c r="F340" s="155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</row>
    <row r="341" spans="1:20">
      <c r="A341" s="153"/>
      <c r="B341" s="153"/>
      <c r="C341" s="141"/>
      <c r="D341" s="141"/>
      <c r="E341" s="141"/>
      <c r="F341" s="155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</row>
    <row r="342" spans="1:20">
      <c r="A342" s="153"/>
      <c r="B342" s="153"/>
      <c r="C342" s="141"/>
      <c r="D342" s="141"/>
      <c r="E342" s="141"/>
      <c r="F342" s="155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</row>
    <row r="343" spans="1:20">
      <c r="A343" s="153"/>
      <c r="B343" s="153"/>
      <c r="C343" s="141"/>
      <c r="D343" s="141"/>
      <c r="E343" s="141"/>
      <c r="F343" s="155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</row>
    <row r="344" spans="1:20">
      <c r="A344" s="153"/>
      <c r="B344" s="153"/>
      <c r="C344" s="141"/>
      <c r="D344" s="141"/>
      <c r="E344" s="141"/>
      <c r="F344" s="155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</row>
    <row r="345" spans="1:20">
      <c r="A345" s="153"/>
      <c r="B345" s="153"/>
      <c r="C345" s="141"/>
      <c r="D345" s="141"/>
      <c r="E345" s="141"/>
      <c r="F345" s="155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</row>
    <row r="346" spans="1:20">
      <c r="A346" s="153"/>
      <c r="B346" s="153"/>
      <c r="C346" s="141"/>
      <c r="D346" s="141"/>
      <c r="E346" s="141"/>
      <c r="F346" s="155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</row>
    <row r="347" spans="1:20">
      <c r="A347" s="153"/>
      <c r="B347" s="153"/>
      <c r="C347" s="141"/>
      <c r="D347" s="141"/>
      <c r="E347" s="141"/>
      <c r="F347" s="155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</row>
    <row r="348" spans="1:20">
      <c r="A348" s="153"/>
      <c r="B348" s="153"/>
      <c r="C348" s="141"/>
      <c r="D348" s="141"/>
      <c r="E348" s="141"/>
      <c r="F348" s="155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</row>
    <row r="349" spans="1:20">
      <c r="A349" s="153"/>
      <c r="B349" s="153"/>
      <c r="C349" s="141"/>
      <c r="D349" s="141"/>
      <c r="E349" s="141"/>
      <c r="F349" s="155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</row>
    <row r="350" spans="1:20">
      <c r="A350" s="153"/>
      <c r="B350" s="153"/>
      <c r="C350" s="141"/>
      <c r="D350" s="141"/>
      <c r="E350" s="141"/>
      <c r="F350" s="155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</row>
    <row r="351" spans="1:20">
      <c r="A351" s="153"/>
      <c r="B351" s="153"/>
      <c r="C351" s="141"/>
      <c r="D351" s="141"/>
      <c r="E351" s="141"/>
      <c r="F351" s="155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</row>
    <row r="352" spans="1:20">
      <c r="A352" s="153"/>
      <c r="B352" s="153"/>
      <c r="C352" s="141"/>
      <c r="D352" s="141"/>
      <c r="E352" s="141"/>
      <c r="F352" s="155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</row>
    <row r="353" spans="1:20">
      <c r="A353" s="153"/>
      <c r="B353" s="153"/>
      <c r="C353" s="141"/>
      <c r="D353" s="141"/>
      <c r="E353" s="141"/>
      <c r="F353" s="155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</row>
    <row r="354" spans="1:20">
      <c r="A354" s="153"/>
      <c r="B354" s="153"/>
      <c r="C354" s="141"/>
      <c r="D354" s="141"/>
      <c r="E354" s="141"/>
      <c r="F354" s="155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</row>
    <row r="355" spans="1:20">
      <c r="A355" s="153"/>
      <c r="B355" s="153"/>
      <c r="C355" s="141"/>
      <c r="D355" s="141"/>
      <c r="E355" s="141"/>
      <c r="F355" s="155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</row>
    <row r="356" spans="1:20">
      <c r="A356" s="153"/>
      <c r="B356" s="153"/>
      <c r="C356" s="141"/>
      <c r="D356" s="141"/>
      <c r="E356" s="141"/>
      <c r="F356" s="155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</row>
    <row r="357" spans="1:20">
      <c r="A357" s="153"/>
      <c r="B357" s="153"/>
      <c r="C357" s="141"/>
      <c r="D357" s="141"/>
      <c r="E357" s="141"/>
      <c r="F357" s="155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</row>
    <row r="358" spans="1:20">
      <c r="A358" s="153"/>
      <c r="B358" s="153"/>
      <c r="C358" s="141"/>
      <c r="D358" s="141"/>
      <c r="E358" s="141"/>
      <c r="F358" s="155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</row>
    <row r="359" spans="1:20">
      <c r="A359" s="153"/>
      <c r="B359" s="153"/>
      <c r="C359" s="141"/>
      <c r="D359" s="141"/>
      <c r="E359" s="141"/>
      <c r="F359" s="155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</row>
    <row r="360" spans="1:20">
      <c r="A360" s="153"/>
      <c r="B360" s="153"/>
      <c r="C360" s="141"/>
      <c r="D360" s="141"/>
      <c r="E360" s="141"/>
      <c r="F360" s="155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</row>
    <row r="361" spans="1:20">
      <c r="A361" s="153"/>
      <c r="B361" s="153"/>
      <c r="C361" s="141"/>
      <c r="D361" s="141"/>
      <c r="E361" s="141"/>
      <c r="F361" s="155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</row>
    <row r="362" spans="1:20">
      <c r="A362" s="153"/>
      <c r="B362" s="153"/>
      <c r="C362" s="141"/>
      <c r="D362" s="141"/>
      <c r="E362" s="141"/>
      <c r="F362" s="155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</row>
    <row r="363" spans="1:20">
      <c r="A363" s="153"/>
      <c r="B363" s="153"/>
      <c r="C363" s="141"/>
      <c r="D363" s="141"/>
      <c r="E363" s="141"/>
      <c r="F363" s="155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</row>
    <row r="364" spans="1:20">
      <c r="A364" s="153"/>
      <c r="B364" s="153"/>
      <c r="C364" s="141"/>
      <c r="D364" s="141"/>
      <c r="E364" s="141"/>
      <c r="F364" s="155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</row>
    <row r="365" spans="1:20">
      <c r="A365" s="153"/>
      <c r="B365" s="153"/>
      <c r="C365" s="141"/>
      <c r="D365" s="141"/>
      <c r="E365" s="141"/>
      <c r="F365" s="155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</row>
    <row r="366" spans="1:20">
      <c r="A366" s="153"/>
      <c r="B366" s="153"/>
      <c r="C366" s="141"/>
      <c r="D366" s="141"/>
      <c r="E366" s="141"/>
      <c r="F366" s="155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</row>
    <row r="367" spans="1:20">
      <c r="A367" s="153"/>
      <c r="B367" s="153"/>
      <c r="C367" s="141"/>
      <c r="D367" s="141"/>
      <c r="E367" s="141"/>
      <c r="F367" s="155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</row>
    <row r="368" spans="1:20">
      <c r="A368" s="153"/>
      <c r="B368" s="153"/>
      <c r="C368" s="141"/>
      <c r="D368" s="141"/>
      <c r="E368" s="141"/>
      <c r="F368" s="155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</row>
    <row r="369" spans="1:20">
      <c r="A369" s="153"/>
      <c r="B369" s="153"/>
      <c r="C369" s="141"/>
      <c r="D369" s="141"/>
      <c r="E369" s="141"/>
      <c r="F369" s="155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</row>
    <row r="370" spans="1:20">
      <c r="A370" s="153"/>
      <c r="B370" s="153"/>
      <c r="C370" s="141"/>
      <c r="D370" s="141"/>
      <c r="E370" s="141"/>
      <c r="F370" s="155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</row>
    <row r="371" spans="1:20">
      <c r="A371" s="153"/>
      <c r="B371" s="153"/>
      <c r="C371" s="141"/>
      <c r="D371" s="141"/>
      <c r="E371" s="141"/>
      <c r="F371" s="155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</row>
    <row r="372" spans="1:20">
      <c r="A372" s="153"/>
      <c r="B372" s="153"/>
      <c r="C372" s="141"/>
      <c r="D372" s="141"/>
      <c r="E372" s="141"/>
      <c r="F372" s="155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</row>
    <row r="373" spans="1:20">
      <c r="A373" s="153"/>
      <c r="B373" s="153"/>
      <c r="C373" s="141"/>
      <c r="D373" s="141"/>
      <c r="E373" s="141"/>
      <c r="F373" s="155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</row>
    <row r="374" spans="1:20">
      <c r="A374" s="153"/>
      <c r="B374" s="153"/>
      <c r="C374" s="141"/>
      <c r="D374" s="141"/>
      <c r="E374" s="141"/>
      <c r="F374" s="155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</row>
    <row r="375" spans="1:20">
      <c r="A375" s="153"/>
      <c r="B375" s="153"/>
      <c r="C375" s="141"/>
      <c r="D375" s="141"/>
      <c r="E375" s="141"/>
      <c r="F375" s="155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</row>
    <row r="376" spans="1:20">
      <c r="A376" s="153"/>
      <c r="B376" s="153"/>
      <c r="C376" s="141"/>
      <c r="D376" s="141"/>
      <c r="E376" s="141"/>
      <c r="F376" s="155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</row>
    <row r="377" spans="1:20">
      <c r="A377" s="153"/>
      <c r="B377" s="153"/>
      <c r="C377" s="141"/>
      <c r="D377" s="141"/>
      <c r="E377" s="141"/>
      <c r="F377" s="155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</row>
    <row r="378" spans="1:20">
      <c r="A378" s="153"/>
      <c r="B378" s="153"/>
      <c r="C378" s="141"/>
      <c r="D378" s="141"/>
      <c r="E378" s="141"/>
      <c r="F378" s="155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</row>
    <row r="379" spans="1:20">
      <c r="A379" s="153"/>
      <c r="B379" s="153"/>
      <c r="C379" s="141"/>
      <c r="D379" s="141"/>
      <c r="E379" s="141"/>
      <c r="F379" s="155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</row>
    <row r="380" spans="1:20">
      <c r="A380" s="153"/>
      <c r="B380" s="153"/>
      <c r="C380" s="141"/>
      <c r="D380" s="141"/>
      <c r="E380" s="141"/>
      <c r="F380" s="155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</row>
    <row r="381" spans="1:20">
      <c r="A381" s="153"/>
      <c r="B381" s="153"/>
      <c r="C381" s="141"/>
      <c r="D381" s="141"/>
      <c r="E381" s="141"/>
      <c r="F381" s="155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</row>
    <row r="382" spans="1:20">
      <c r="A382" s="153"/>
      <c r="B382" s="153"/>
      <c r="C382" s="141"/>
      <c r="D382" s="141"/>
      <c r="E382" s="141"/>
      <c r="F382" s="155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</row>
    <row r="383" spans="1:20">
      <c r="A383" s="153"/>
      <c r="B383" s="153"/>
      <c r="C383" s="141"/>
      <c r="D383" s="141"/>
      <c r="E383" s="141"/>
      <c r="F383" s="155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</row>
    <row r="384" spans="1:20">
      <c r="A384" s="153"/>
      <c r="B384" s="153"/>
      <c r="C384" s="141"/>
      <c r="D384" s="141"/>
      <c r="E384" s="141"/>
      <c r="F384" s="155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</row>
    <row r="385" spans="1:20">
      <c r="A385" s="153"/>
      <c r="B385" s="153"/>
      <c r="C385" s="141"/>
      <c r="D385" s="141"/>
      <c r="E385" s="141"/>
      <c r="F385" s="155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</row>
    <row r="386" spans="1:20">
      <c r="A386" s="153"/>
      <c r="B386" s="153"/>
      <c r="C386" s="141"/>
      <c r="D386" s="141"/>
      <c r="E386" s="141"/>
      <c r="F386" s="155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</row>
    <row r="387" spans="1:20">
      <c r="A387" s="153"/>
      <c r="B387" s="153"/>
      <c r="C387" s="141"/>
      <c r="D387" s="141"/>
      <c r="E387" s="141"/>
      <c r="F387" s="155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</row>
    <row r="388" spans="1:20">
      <c r="A388" s="153"/>
      <c r="B388" s="153"/>
      <c r="C388" s="141"/>
      <c r="D388" s="141"/>
      <c r="E388" s="141"/>
      <c r="F388" s="155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</row>
    <row r="389" spans="1:20">
      <c r="A389" s="153"/>
      <c r="B389" s="153"/>
      <c r="C389" s="141"/>
      <c r="D389" s="141"/>
      <c r="E389" s="141"/>
      <c r="F389" s="155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</row>
    <row r="390" spans="1:20">
      <c r="A390" s="153"/>
      <c r="B390" s="153"/>
      <c r="C390" s="141"/>
      <c r="D390" s="141"/>
      <c r="E390" s="141"/>
      <c r="F390" s="155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</row>
    <row r="391" spans="1:20">
      <c r="A391" s="153"/>
      <c r="B391" s="153"/>
      <c r="C391" s="141"/>
      <c r="D391" s="141"/>
      <c r="E391" s="141"/>
      <c r="F391" s="155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</row>
    <row r="392" spans="1:20">
      <c r="A392" s="153"/>
      <c r="B392" s="153"/>
      <c r="C392" s="141"/>
      <c r="D392" s="141"/>
      <c r="E392" s="141"/>
      <c r="F392" s="155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</row>
    <row r="393" spans="1:20">
      <c r="A393" s="153"/>
      <c r="B393" s="153"/>
      <c r="C393" s="141"/>
      <c r="D393" s="141"/>
      <c r="E393" s="141"/>
      <c r="F393" s="155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</row>
    <row r="394" spans="1:20">
      <c r="A394" s="153"/>
      <c r="B394" s="153"/>
      <c r="C394" s="141"/>
      <c r="D394" s="141"/>
      <c r="E394" s="141"/>
      <c r="F394" s="155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</row>
    <row r="395" spans="1:20">
      <c r="A395" s="153"/>
      <c r="B395" s="153"/>
      <c r="C395" s="141"/>
      <c r="D395" s="141"/>
      <c r="E395" s="141"/>
      <c r="F395" s="155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</row>
    <row r="396" spans="1:20">
      <c r="A396" s="153"/>
      <c r="B396" s="153"/>
      <c r="C396" s="141"/>
      <c r="D396" s="141"/>
      <c r="E396" s="141"/>
      <c r="F396" s="155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</row>
    <row r="397" spans="1:20">
      <c r="A397" s="153"/>
      <c r="B397" s="153"/>
      <c r="C397" s="141"/>
      <c r="D397" s="141"/>
      <c r="E397" s="141"/>
      <c r="F397" s="155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</row>
    <row r="398" spans="1:20">
      <c r="A398" s="153"/>
      <c r="B398" s="153"/>
      <c r="C398" s="141"/>
      <c r="D398" s="141"/>
      <c r="E398" s="141"/>
      <c r="F398" s="155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</row>
    <row r="399" spans="1:20">
      <c r="A399" s="153"/>
      <c r="B399" s="153"/>
      <c r="C399" s="141"/>
      <c r="D399" s="141"/>
      <c r="E399" s="141"/>
      <c r="F399" s="155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</row>
    <row r="400" spans="1:20">
      <c r="A400" s="153"/>
      <c r="B400" s="153"/>
      <c r="C400" s="141"/>
      <c r="D400" s="141"/>
      <c r="E400" s="141"/>
      <c r="F400" s="155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</row>
    <row r="401" spans="1:20">
      <c r="A401" s="153"/>
      <c r="B401" s="153"/>
      <c r="C401" s="141"/>
      <c r="D401" s="141"/>
      <c r="E401" s="141"/>
      <c r="F401" s="155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</row>
    <row r="402" spans="1:20">
      <c r="A402" s="153"/>
      <c r="B402" s="153"/>
      <c r="C402" s="141"/>
      <c r="D402" s="141"/>
      <c r="E402" s="141"/>
      <c r="F402" s="155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</row>
    <row r="403" spans="1:20">
      <c r="A403" s="153"/>
      <c r="B403" s="153"/>
      <c r="C403" s="141"/>
      <c r="D403" s="141"/>
      <c r="E403" s="141"/>
      <c r="F403" s="155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</row>
    <row r="404" spans="1:20">
      <c r="A404" s="153"/>
      <c r="B404" s="153"/>
      <c r="C404" s="141"/>
      <c r="D404" s="141"/>
      <c r="E404" s="141"/>
      <c r="F404" s="155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</row>
    <row r="405" spans="1:20">
      <c r="A405" s="153"/>
      <c r="B405" s="153"/>
      <c r="C405" s="141"/>
      <c r="D405" s="141"/>
      <c r="E405" s="141"/>
      <c r="F405" s="155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</row>
    <row r="406" spans="1:20">
      <c r="A406" s="153"/>
      <c r="B406" s="153"/>
      <c r="C406" s="141"/>
      <c r="D406" s="141"/>
      <c r="E406" s="141"/>
      <c r="F406" s="155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</row>
    <row r="407" spans="1:20">
      <c r="A407" s="153"/>
      <c r="B407" s="153"/>
      <c r="C407" s="141"/>
      <c r="D407" s="141"/>
      <c r="E407" s="141"/>
      <c r="F407" s="155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</row>
    <row r="408" spans="1:20">
      <c r="A408" s="153"/>
      <c r="B408" s="153"/>
      <c r="C408" s="141"/>
      <c r="D408" s="141"/>
      <c r="E408" s="141"/>
      <c r="F408" s="155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</row>
    <row r="409" spans="1:20">
      <c r="A409" s="153"/>
      <c r="B409" s="153"/>
      <c r="C409" s="141"/>
      <c r="D409" s="141"/>
      <c r="E409" s="141"/>
      <c r="F409" s="155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</row>
    <row r="410" spans="1:20">
      <c r="A410" s="153"/>
      <c r="B410" s="153"/>
      <c r="C410" s="141"/>
      <c r="D410" s="141"/>
      <c r="E410" s="141"/>
      <c r="F410" s="155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</row>
    <row r="411" spans="1:20">
      <c r="A411" s="153"/>
      <c r="B411" s="153"/>
      <c r="C411" s="141"/>
      <c r="D411" s="141"/>
      <c r="E411" s="141"/>
      <c r="F411" s="155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</row>
    <row r="412" spans="1:20">
      <c r="A412" s="153"/>
      <c r="B412" s="153"/>
      <c r="C412" s="141"/>
      <c r="D412" s="141"/>
      <c r="E412" s="141"/>
      <c r="F412" s="155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</row>
    <row r="413" spans="1:20">
      <c r="A413" s="153"/>
      <c r="B413" s="153"/>
      <c r="C413" s="141"/>
      <c r="D413" s="141"/>
      <c r="E413" s="141"/>
      <c r="F413" s="155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</row>
    <row r="414" spans="1:20">
      <c r="A414" s="153"/>
      <c r="B414" s="153"/>
      <c r="C414" s="141"/>
      <c r="D414" s="141"/>
      <c r="E414" s="141"/>
      <c r="F414" s="155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</row>
    <row r="415" spans="1:20">
      <c r="A415" s="153"/>
      <c r="B415" s="153"/>
      <c r="C415" s="141"/>
      <c r="D415" s="141"/>
      <c r="E415" s="141"/>
      <c r="F415" s="155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</row>
    <row r="416" spans="1:20">
      <c r="A416" s="153"/>
      <c r="B416" s="153"/>
      <c r="C416" s="141"/>
      <c r="D416" s="141"/>
      <c r="E416" s="141"/>
      <c r="F416" s="155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</row>
    <row r="417" spans="1:20">
      <c r="A417" s="153"/>
      <c r="B417" s="153"/>
      <c r="C417" s="141"/>
      <c r="D417" s="141"/>
      <c r="E417" s="141"/>
      <c r="F417" s="155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</row>
    <row r="418" spans="1:20">
      <c r="A418" s="153"/>
      <c r="B418" s="153"/>
      <c r="C418" s="141"/>
      <c r="D418" s="141"/>
      <c r="E418" s="141"/>
      <c r="F418" s="155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</row>
    <row r="419" spans="1:20">
      <c r="A419" s="153"/>
      <c r="B419" s="153"/>
      <c r="C419" s="141"/>
      <c r="D419" s="141"/>
      <c r="E419" s="141"/>
      <c r="F419" s="155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</row>
    <row r="420" spans="1:20">
      <c r="A420" s="153"/>
      <c r="B420" s="153"/>
      <c r="C420" s="141"/>
      <c r="D420" s="141"/>
      <c r="E420" s="141"/>
      <c r="F420" s="155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</row>
    <row r="421" spans="1:20">
      <c r="A421" s="153"/>
      <c r="B421" s="153"/>
      <c r="C421" s="141"/>
      <c r="D421" s="141"/>
      <c r="E421" s="141"/>
      <c r="F421" s="155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</row>
    <row r="422" spans="1:20">
      <c r="A422" s="153"/>
      <c r="B422" s="153"/>
      <c r="C422" s="141"/>
      <c r="D422" s="141"/>
      <c r="E422" s="141"/>
      <c r="F422" s="155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</row>
    <row r="423" spans="1:20">
      <c r="A423" s="153"/>
      <c r="B423" s="153"/>
      <c r="C423" s="141"/>
      <c r="D423" s="141"/>
      <c r="E423" s="141"/>
      <c r="F423" s="155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</row>
    <row r="424" spans="1:20">
      <c r="A424" s="153"/>
      <c r="B424" s="153"/>
      <c r="C424" s="141"/>
      <c r="D424" s="141"/>
      <c r="E424" s="141"/>
      <c r="F424" s="155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</row>
    <row r="425" spans="1:20">
      <c r="A425" s="153"/>
      <c r="B425" s="153"/>
      <c r="C425" s="141"/>
      <c r="D425" s="141"/>
      <c r="E425" s="141"/>
      <c r="F425" s="155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</row>
    <row r="426" spans="1:20">
      <c r="A426" s="153"/>
      <c r="B426" s="153"/>
      <c r="C426" s="141"/>
      <c r="D426" s="141"/>
      <c r="E426" s="141"/>
      <c r="F426" s="155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</row>
    <row r="427" spans="1:20">
      <c r="A427" s="153"/>
      <c r="B427" s="153"/>
      <c r="C427" s="141"/>
      <c r="D427" s="141"/>
      <c r="E427" s="141"/>
      <c r="F427" s="155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</row>
    <row r="428" spans="1:20">
      <c r="A428" s="153"/>
      <c r="B428" s="153"/>
      <c r="C428" s="141"/>
      <c r="D428" s="141"/>
      <c r="E428" s="141"/>
      <c r="F428" s="155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</row>
    <row r="429" spans="1:20">
      <c r="A429" s="153"/>
      <c r="B429" s="153"/>
      <c r="C429" s="141"/>
      <c r="D429" s="141"/>
      <c r="E429" s="141"/>
      <c r="F429" s="155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</row>
    <row r="430" spans="1:20">
      <c r="A430" s="153"/>
      <c r="B430" s="153"/>
      <c r="C430" s="141"/>
      <c r="D430" s="141"/>
      <c r="E430" s="141"/>
      <c r="F430" s="155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</row>
    <row r="431" spans="1:20">
      <c r="A431" s="153"/>
      <c r="B431" s="153"/>
      <c r="C431" s="141"/>
      <c r="D431" s="141"/>
      <c r="E431" s="141"/>
      <c r="F431" s="155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</row>
    <row r="432" spans="1:20">
      <c r="A432" s="153"/>
      <c r="B432" s="153"/>
      <c r="C432" s="141"/>
      <c r="D432" s="141"/>
      <c r="E432" s="141"/>
      <c r="F432" s="155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</row>
    <row r="433" spans="1:20">
      <c r="A433" s="153"/>
      <c r="B433" s="153"/>
      <c r="C433" s="141"/>
      <c r="D433" s="141"/>
      <c r="E433" s="141"/>
      <c r="F433" s="155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</row>
    <row r="434" spans="1:20">
      <c r="A434" s="153"/>
      <c r="B434" s="153"/>
      <c r="C434" s="141"/>
      <c r="D434" s="141"/>
      <c r="E434" s="141"/>
      <c r="F434" s="155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</row>
    <row r="435" spans="1:20">
      <c r="A435" s="153"/>
      <c r="B435" s="153"/>
      <c r="C435" s="141"/>
      <c r="D435" s="141"/>
      <c r="E435" s="141"/>
      <c r="F435" s="155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</row>
    <row r="436" spans="1:20">
      <c r="A436" s="153"/>
      <c r="B436" s="153"/>
      <c r="C436" s="141"/>
      <c r="D436" s="141"/>
      <c r="E436" s="141"/>
      <c r="F436" s="155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</row>
    <row r="437" spans="1:20">
      <c r="A437" s="153"/>
      <c r="B437" s="153"/>
      <c r="C437" s="141"/>
      <c r="D437" s="141"/>
      <c r="E437" s="141"/>
      <c r="F437" s="155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</row>
    <row r="438" spans="1:20">
      <c r="A438" s="153"/>
      <c r="B438" s="153"/>
      <c r="C438" s="141"/>
      <c r="D438" s="141"/>
      <c r="E438" s="141"/>
      <c r="F438" s="155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</row>
    <row r="439" spans="1:20">
      <c r="A439" s="153"/>
      <c r="B439" s="153"/>
      <c r="C439" s="141"/>
      <c r="D439" s="141"/>
      <c r="E439" s="141"/>
      <c r="F439" s="155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</row>
    <row r="440" spans="1:20">
      <c r="A440" s="153"/>
      <c r="B440" s="153"/>
      <c r="C440" s="141"/>
      <c r="D440" s="141"/>
      <c r="E440" s="141"/>
      <c r="F440" s="155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</row>
    <row r="441" spans="1:20">
      <c r="A441" s="153"/>
      <c r="B441" s="153"/>
      <c r="C441" s="141"/>
      <c r="D441" s="141"/>
      <c r="E441" s="141"/>
      <c r="F441" s="155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</row>
    <row r="442" spans="1:20">
      <c r="A442" s="153"/>
      <c r="B442" s="153"/>
      <c r="C442" s="141"/>
      <c r="D442" s="141"/>
      <c r="E442" s="141"/>
      <c r="F442" s="155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</row>
    <row r="443" spans="1:20">
      <c r="A443" s="153"/>
      <c r="B443" s="153"/>
      <c r="C443" s="141"/>
      <c r="D443" s="141"/>
      <c r="E443" s="141"/>
      <c r="F443" s="155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</row>
    <row r="444" spans="1:20">
      <c r="A444" s="153"/>
      <c r="B444" s="153"/>
      <c r="C444" s="141"/>
      <c r="D444" s="141"/>
      <c r="E444" s="141"/>
      <c r="F444" s="155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</row>
    <row r="445" spans="1:20">
      <c r="A445" s="153"/>
      <c r="B445" s="153"/>
      <c r="C445" s="141"/>
      <c r="D445" s="141"/>
      <c r="E445" s="141"/>
      <c r="F445" s="155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</row>
    <row r="446" spans="1:20">
      <c r="A446" s="153"/>
      <c r="B446" s="153"/>
      <c r="C446" s="141"/>
      <c r="D446" s="141"/>
      <c r="E446" s="141"/>
      <c r="F446" s="155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</row>
    <row r="447" spans="1:20">
      <c r="A447" s="153"/>
      <c r="B447" s="153"/>
      <c r="C447" s="141"/>
      <c r="D447" s="141"/>
      <c r="E447" s="141"/>
      <c r="F447" s="155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</row>
    <row r="448" spans="1:20">
      <c r="A448" s="153"/>
      <c r="B448" s="153"/>
      <c r="C448" s="141"/>
      <c r="D448" s="141"/>
      <c r="E448" s="141"/>
      <c r="F448" s="155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</row>
    <row r="449" spans="1:20">
      <c r="A449" s="153"/>
      <c r="B449" s="153"/>
      <c r="C449" s="141"/>
      <c r="D449" s="141"/>
      <c r="E449" s="141"/>
      <c r="F449" s="155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</row>
    <row r="450" spans="1:20">
      <c r="A450" s="153"/>
      <c r="B450" s="153"/>
      <c r="C450" s="141"/>
      <c r="D450" s="141"/>
      <c r="E450" s="141"/>
      <c r="F450" s="155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</row>
    <row r="451" spans="1:20">
      <c r="A451" s="153"/>
      <c r="B451" s="153"/>
      <c r="C451" s="141"/>
      <c r="D451" s="141"/>
      <c r="E451" s="141"/>
      <c r="F451" s="155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</row>
    <row r="452" spans="1:20">
      <c r="A452" s="153"/>
      <c r="B452" s="153"/>
      <c r="C452" s="141"/>
      <c r="D452" s="141"/>
      <c r="E452" s="141"/>
      <c r="F452" s="155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</row>
    <row r="453" spans="1:20">
      <c r="A453" s="153"/>
      <c r="B453" s="153"/>
      <c r="C453" s="141"/>
      <c r="D453" s="141"/>
      <c r="E453" s="141"/>
      <c r="F453" s="155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</row>
    <row r="454" spans="1:20">
      <c r="A454" s="153"/>
      <c r="B454" s="153"/>
      <c r="C454" s="141"/>
      <c r="D454" s="141"/>
      <c r="E454" s="141"/>
      <c r="F454" s="155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</row>
    <row r="455" spans="1:20">
      <c r="A455" s="153"/>
      <c r="B455" s="153"/>
      <c r="C455" s="141"/>
      <c r="D455" s="141"/>
      <c r="E455" s="141"/>
      <c r="F455" s="155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</row>
    <row r="456" spans="1:20">
      <c r="A456" s="153"/>
      <c r="B456" s="153"/>
      <c r="C456" s="141"/>
      <c r="D456" s="141"/>
      <c r="E456" s="141"/>
      <c r="F456" s="155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</row>
    <row r="457" spans="1:20">
      <c r="A457" s="153"/>
      <c r="B457" s="153"/>
      <c r="C457" s="141"/>
      <c r="D457" s="141"/>
      <c r="E457" s="141"/>
      <c r="F457" s="155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</row>
    <row r="458" spans="1:20">
      <c r="A458" s="153"/>
      <c r="B458" s="153"/>
      <c r="C458" s="141"/>
      <c r="D458" s="141"/>
      <c r="E458" s="141"/>
      <c r="F458" s="155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</row>
    <row r="459" spans="1:20">
      <c r="A459" s="153"/>
      <c r="B459" s="153"/>
      <c r="C459" s="141"/>
      <c r="D459" s="141"/>
      <c r="E459" s="141"/>
      <c r="F459" s="155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</row>
    <row r="460" spans="1:20">
      <c r="A460" s="153"/>
      <c r="B460" s="153"/>
      <c r="C460" s="141"/>
      <c r="D460" s="141"/>
      <c r="E460" s="141"/>
      <c r="F460" s="155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</row>
    <row r="461" spans="1:20">
      <c r="A461" s="153"/>
      <c r="B461" s="153"/>
      <c r="C461" s="141"/>
      <c r="D461" s="141"/>
      <c r="E461" s="141"/>
      <c r="F461" s="155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</row>
    <row r="462" spans="1:20">
      <c r="A462" s="153"/>
      <c r="B462" s="153"/>
      <c r="C462" s="141"/>
      <c r="D462" s="141"/>
      <c r="E462" s="141"/>
      <c r="F462" s="155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</row>
    <row r="463" spans="1:20">
      <c r="A463" s="153"/>
      <c r="B463" s="153"/>
      <c r="C463" s="141"/>
      <c r="D463" s="141"/>
      <c r="E463" s="141"/>
      <c r="F463" s="155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</row>
    <row r="464" spans="1:20">
      <c r="A464" s="153"/>
      <c r="B464" s="153"/>
      <c r="C464" s="141"/>
      <c r="D464" s="141"/>
      <c r="E464" s="141"/>
      <c r="F464" s="155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</row>
    <row r="465" spans="1:20">
      <c r="A465" s="153"/>
      <c r="B465" s="153"/>
      <c r="C465" s="141"/>
      <c r="D465" s="141"/>
      <c r="E465" s="141"/>
      <c r="F465" s="155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</row>
    <row r="466" spans="1:20">
      <c r="A466" s="153"/>
      <c r="B466" s="153"/>
      <c r="C466" s="141"/>
      <c r="D466" s="141"/>
      <c r="E466" s="141"/>
      <c r="F466" s="155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</row>
    <row r="467" spans="1:20">
      <c r="A467" s="153"/>
      <c r="B467" s="153"/>
      <c r="C467" s="141"/>
      <c r="D467" s="141"/>
      <c r="E467" s="141"/>
      <c r="F467" s="155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</row>
    <row r="468" spans="1:20">
      <c r="A468" s="153"/>
      <c r="B468" s="153"/>
      <c r="C468" s="141"/>
      <c r="D468" s="141"/>
      <c r="E468" s="141"/>
      <c r="F468" s="155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</row>
    <row r="469" spans="1:20">
      <c r="A469" s="153"/>
      <c r="B469" s="153"/>
      <c r="C469" s="141"/>
      <c r="D469" s="141"/>
      <c r="E469" s="141"/>
      <c r="F469" s="155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</row>
    <row r="470" spans="1:20">
      <c r="A470" s="153"/>
      <c r="B470" s="153"/>
      <c r="C470" s="141"/>
      <c r="D470" s="141"/>
      <c r="E470" s="141"/>
      <c r="F470" s="155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</row>
    <row r="471" spans="1:20">
      <c r="A471" s="153"/>
      <c r="B471" s="153"/>
      <c r="C471" s="141"/>
      <c r="D471" s="141"/>
      <c r="E471" s="141"/>
      <c r="F471" s="155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</row>
    <row r="472" spans="1:20">
      <c r="A472" s="153"/>
      <c r="B472" s="153"/>
      <c r="C472" s="141"/>
      <c r="D472" s="141"/>
      <c r="E472" s="141"/>
      <c r="F472" s="155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</row>
    <row r="473" spans="1:20">
      <c r="A473" s="153"/>
      <c r="B473" s="153"/>
      <c r="C473" s="141"/>
      <c r="D473" s="141"/>
      <c r="E473" s="141"/>
      <c r="F473" s="155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</row>
    <row r="474" spans="1:20">
      <c r="A474" s="153"/>
      <c r="B474" s="153"/>
      <c r="C474" s="141"/>
      <c r="D474" s="141"/>
      <c r="E474" s="141"/>
      <c r="F474" s="155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</row>
    <row r="475" spans="1:20">
      <c r="A475" s="153"/>
      <c r="B475" s="153"/>
      <c r="C475" s="141"/>
      <c r="D475" s="141"/>
      <c r="E475" s="141"/>
      <c r="F475" s="155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</row>
    <row r="476" spans="1:20">
      <c r="A476" s="153"/>
      <c r="B476" s="153"/>
      <c r="C476" s="141"/>
      <c r="D476" s="141"/>
      <c r="E476" s="141"/>
      <c r="F476" s="155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</row>
    <row r="477" spans="1:20">
      <c r="A477" s="153"/>
      <c r="B477" s="153"/>
      <c r="C477" s="141"/>
      <c r="D477" s="141"/>
      <c r="E477" s="141"/>
      <c r="F477" s="155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</row>
    <row r="478" spans="1:20">
      <c r="A478" s="153"/>
      <c r="B478" s="153"/>
      <c r="C478" s="141"/>
      <c r="D478" s="141"/>
      <c r="E478" s="141"/>
      <c r="F478" s="155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</row>
    <row r="479" spans="1:20">
      <c r="A479" s="153"/>
      <c r="B479" s="153"/>
      <c r="C479" s="141"/>
      <c r="D479" s="141"/>
      <c r="E479" s="141"/>
      <c r="F479" s="155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</row>
    <row r="480" spans="1:20">
      <c r="A480" s="153"/>
      <c r="B480" s="153"/>
      <c r="C480" s="141"/>
      <c r="D480" s="141"/>
      <c r="E480" s="141"/>
      <c r="F480" s="155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</row>
    <row r="481" spans="1:20">
      <c r="A481" s="153"/>
      <c r="B481" s="153"/>
      <c r="C481" s="141"/>
      <c r="D481" s="141"/>
      <c r="E481" s="141"/>
      <c r="F481" s="155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</row>
    <row r="482" spans="1:20">
      <c r="A482" s="153"/>
      <c r="B482" s="153"/>
      <c r="C482" s="141"/>
      <c r="D482" s="141"/>
      <c r="E482" s="141"/>
      <c r="F482" s="155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</row>
    <row r="483" spans="1:20">
      <c r="A483" s="153"/>
      <c r="B483" s="153"/>
      <c r="C483" s="141"/>
      <c r="D483" s="141"/>
      <c r="E483" s="141"/>
      <c r="F483" s="155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</row>
    <row r="484" spans="1:20">
      <c r="A484" s="153"/>
      <c r="B484" s="153"/>
      <c r="C484" s="141"/>
      <c r="D484" s="141"/>
      <c r="E484" s="141"/>
      <c r="F484" s="155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</row>
    <row r="485" spans="1:20">
      <c r="A485" s="153"/>
      <c r="B485" s="153"/>
      <c r="C485" s="141"/>
      <c r="D485" s="141"/>
      <c r="E485" s="141"/>
      <c r="F485" s="155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</row>
    <row r="486" spans="1:20">
      <c r="A486" s="153"/>
      <c r="B486" s="153"/>
      <c r="C486" s="141"/>
      <c r="D486" s="141"/>
      <c r="E486" s="141"/>
      <c r="F486" s="155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</row>
    <row r="487" spans="1:20">
      <c r="A487" s="153"/>
      <c r="B487" s="153"/>
      <c r="C487" s="141"/>
      <c r="D487" s="141"/>
      <c r="E487" s="141"/>
      <c r="F487" s="155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</row>
    <row r="488" spans="1:20">
      <c r="A488" s="153"/>
      <c r="B488" s="153"/>
      <c r="C488" s="141"/>
      <c r="D488" s="141"/>
      <c r="E488" s="141"/>
      <c r="F488" s="155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</row>
    <row r="489" spans="1:20">
      <c r="A489" s="153"/>
      <c r="B489" s="153"/>
      <c r="C489" s="141"/>
      <c r="D489" s="141"/>
      <c r="E489" s="141"/>
      <c r="F489" s="155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</row>
    <row r="490" spans="1:20">
      <c r="A490" s="153"/>
      <c r="B490" s="153"/>
      <c r="C490" s="141"/>
      <c r="D490" s="141"/>
      <c r="E490" s="141"/>
      <c r="F490" s="155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</row>
    <row r="491" spans="1:20">
      <c r="A491" s="153"/>
      <c r="B491" s="153"/>
      <c r="C491" s="141"/>
      <c r="D491" s="141"/>
      <c r="E491" s="141"/>
      <c r="F491" s="155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</row>
    <row r="492" spans="1:20">
      <c r="A492" s="153"/>
      <c r="B492" s="153"/>
      <c r="C492" s="141"/>
      <c r="D492" s="141"/>
      <c r="E492" s="141"/>
      <c r="F492" s="155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</row>
    <row r="493" spans="1:20">
      <c r="A493" s="153"/>
      <c r="B493" s="153"/>
      <c r="C493" s="141"/>
      <c r="D493" s="141"/>
      <c r="E493" s="141"/>
      <c r="F493" s="155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</row>
    <row r="494" spans="1:20">
      <c r="A494" s="153"/>
      <c r="B494" s="153"/>
      <c r="C494" s="141"/>
      <c r="D494" s="141"/>
      <c r="E494" s="141"/>
      <c r="F494" s="155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</row>
    <row r="495" spans="1:20">
      <c r="A495" s="153"/>
      <c r="B495" s="153"/>
      <c r="C495" s="141"/>
      <c r="D495" s="141"/>
      <c r="E495" s="141"/>
      <c r="F495" s="155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</row>
    <row r="496" spans="1:20">
      <c r="A496" s="153"/>
      <c r="B496" s="153"/>
      <c r="C496" s="141"/>
      <c r="D496" s="141"/>
      <c r="E496" s="141"/>
      <c r="F496" s="155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</row>
    <row r="497" spans="1:20">
      <c r="A497" s="153"/>
      <c r="B497" s="153"/>
      <c r="C497" s="141"/>
      <c r="D497" s="141"/>
      <c r="E497" s="141"/>
      <c r="F497" s="155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</row>
    <row r="498" spans="1:20">
      <c r="A498" s="153"/>
      <c r="B498" s="153"/>
      <c r="C498" s="141"/>
      <c r="D498" s="141"/>
      <c r="E498" s="141"/>
      <c r="F498" s="155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</row>
    <row r="499" spans="1:20">
      <c r="A499" s="153"/>
      <c r="B499" s="153"/>
      <c r="C499" s="141"/>
      <c r="D499" s="141"/>
      <c r="E499" s="141"/>
      <c r="F499" s="155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</row>
    <row r="500" spans="1:20">
      <c r="A500" s="153"/>
      <c r="B500" s="153"/>
      <c r="C500" s="141"/>
      <c r="D500" s="141"/>
      <c r="E500" s="141"/>
      <c r="F500" s="155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</row>
    <row r="501" spans="1:20">
      <c r="A501" s="153"/>
      <c r="B501" s="153"/>
      <c r="C501" s="141"/>
      <c r="D501" s="141"/>
      <c r="E501" s="141"/>
      <c r="F501" s="155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</row>
    <row r="502" spans="1:20">
      <c r="A502" s="153"/>
      <c r="B502" s="153"/>
      <c r="C502" s="141"/>
      <c r="D502" s="141"/>
      <c r="E502" s="141"/>
      <c r="F502" s="155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</row>
    <row r="503" spans="1:20">
      <c r="A503" s="153"/>
      <c r="B503" s="153"/>
      <c r="C503" s="141"/>
      <c r="D503" s="141"/>
      <c r="E503" s="141"/>
      <c r="F503" s="155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</row>
    <row r="504" spans="1:20">
      <c r="A504" s="153"/>
      <c r="B504" s="153"/>
      <c r="C504" s="141"/>
      <c r="D504" s="141"/>
      <c r="E504" s="141"/>
      <c r="F504" s="155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</row>
    <row r="505" spans="1:20">
      <c r="A505" s="153"/>
      <c r="B505" s="153"/>
      <c r="C505" s="141"/>
      <c r="D505" s="141"/>
      <c r="E505" s="141"/>
      <c r="F505" s="155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</row>
    <row r="506" spans="1:20">
      <c r="A506" s="153"/>
      <c r="B506" s="153"/>
      <c r="C506" s="141"/>
      <c r="D506" s="141"/>
      <c r="E506" s="141"/>
      <c r="F506" s="155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</row>
    <row r="507" spans="1:20">
      <c r="A507" s="153"/>
      <c r="B507" s="153"/>
      <c r="C507" s="141"/>
      <c r="D507" s="141"/>
      <c r="E507" s="141"/>
      <c r="F507" s="155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</row>
    <row r="508" spans="1:20">
      <c r="A508" s="153"/>
      <c r="B508" s="153"/>
      <c r="C508" s="141"/>
      <c r="D508" s="141"/>
      <c r="E508" s="141"/>
      <c r="F508" s="155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</row>
    <row r="509" spans="1:20">
      <c r="A509" s="153"/>
      <c r="B509" s="153"/>
      <c r="C509" s="141"/>
      <c r="D509" s="141"/>
      <c r="E509" s="141"/>
      <c r="F509" s="155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</row>
    <row r="510" spans="1:20">
      <c r="A510" s="153"/>
      <c r="B510" s="153"/>
      <c r="C510" s="141"/>
      <c r="D510" s="141"/>
      <c r="E510" s="141"/>
      <c r="F510" s="155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</row>
    <row r="511" spans="1:20">
      <c r="A511" s="153"/>
      <c r="B511" s="153"/>
      <c r="C511" s="141"/>
      <c r="D511" s="141"/>
      <c r="E511" s="141"/>
      <c r="F511" s="155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</row>
    <row r="512" spans="1:20">
      <c r="A512" s="153"/>
      <c r="B512" s="153"/>
      <c r="C512" s="141"/>
      <c r="D512" s="141"/>
      <c r="E512" s="141"/>
      <c r="F512" s="155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</row>
    <row r="513" spans="1:20">
      <c r="A513" s="153"/>
      <c r="B513" s="153"/>
      <c r="C513" s="141"/>
      <c r="D513" s="141"/>
      <c r="E513" s="141"/>
      <c r="F513" s="155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</row>
    <row r="514" spans="1:20">
      <c r="A514" s="153"/>
      <c r="B514" s="153"/>
      <c r="C514" s="141"/>
      <c r="D514" s="141"/>
      <c r="E514" s="141"/>
      <c r="F514" s="155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</row>
    <row r="515" spans="1:20">
      <c r="A515" s="153"/>
      <c r="B515" s="153"/>
      <c r="C515" s="141"/>
      <c r="D515" s="141"/>
      <c r="E515" s="141"/>
      <c r="F515" s="155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</row>
    <row r="516" spans="1:20">
      <c r="A516" s="153"/>
      <c r="B516" s="153"/>
      <c r="C516" s="141"/>
      <c r="D516" s="141"/>
      <c r="E516" s="141"/>
      <c r="F516" s="155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</row>
    <row r="517" spans="1:20">
      <c r="A517" s="153"/>
      <c r="B517" s="153"/>
      <c r="C517" s="141"/>
      <c r="D517" s="141"/>
      <c r="E517" s="141"/>
      <c r="F517" s="155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</row>
    <row r="518" spans="1:20">
      <c r="A518" s="153"/>
      <c r="B518" s="153"/>
      <c r="C518" s="141"/>
      <c r="D518" s="141"/>
      <c r="E518" s="141"/>
      <c r="F518" s="155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</row>
    <row r="519" spans="1:20">
      <c r="A519" s="153"/>
      <c r="B519" s="153"/>
      <c r="C519" s="141"/>
      <c r="D519" s="141"/>
      <c r="E519" s="141"/>
      <c r="F519" s="155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</row>
    <row r="520" spans="1:20">
      <c r="A520" s="153"/>
      <c r="B520" s="153"/>
      <c r="C520" s="141"/>
      <c r="D520" s="141"/>
      <c r="E520" s="141"/>
      <c r="F520" s="155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</row>
    <row r="521" spans="1:20">
      <c r="A521" s="153"/>
      <c r="B521" s="153"/>
      <c r="C521" s="141"/>
      <c r="D521" s="141"/>
      <c r="E521" s="141"/>
      <c r="F521" s="155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</row>
    <row r="522" spans="1:20">
      <c r="A522" s="153"/>
      <c r="B522" s="153"/>
      <c r="C522" s="141"/>
      <c r="D522" s="141"/>
      <c r="E522" s="141"/>
      <c r="F522" s="155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</row>
    <row r="523" spans="1:20">
      <c r="A523" s="153"/>
      <c r="B523" s="153"/>
      <c r="C523" s="141"/>
      <c r="D523" s="141"/>
      <c r="E523" s="141"/>
      <c r="F523" s="155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</row>
    <row r="524" spans="1:20">
      <c r="A524" s="153"/>
      <c r="B524" s="153"/>
      <c r="C524" s="141"/>
      <c r="D524" s="141"/>
      <c r="E524" s="141"/>
      <c r="F524" s="155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</row>
    <row r="525" spans="1:20">
      <c r="A525" s="153"/>
      <c r="B525" s="153"/>
      <c r="C525" s="141"/>
      <c r="D525" s="141"/>
      <c r="E525" s="141"/>
      <c r="F525" s="155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</row>
    <row r="526" spans="1:20">
      <c r="A526" s="153"/>
      <c r="B526" s="153"/>
      <c r="C526" s="141"/>
      <c r="D526" s="141"/>
      <c r="E526" s="141"/>
      <c r="F526" s="155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</row>
    <row r="527" spans="1:20">
      <c r="A527" s="153"/>
      <c r="B527" s="153"/>
      <c r="C527" s="141"/>
      <c r="D527" s="141"/>
      <c r="E527" s="141"/>
      <c r="F527" s="155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</row>
    <row r="528" spans="1:20">
      <c r="A528" s="153"/>
      <c r="B528" s="153"/>
      <c r="C528" s="141"/>
      <c r="D528" s="141"/>
      <c r="E528" s="141"/>
      <c r="F528" s="155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</row>
    <row r="529" spans="1:20">
      <c r="A529" s="153"/>
      <c r="B529" s="153"/>
      <c r="C529" s="141"/>
      <c r="D529" s="141"/>
      <c r="E529" s="141"/>
      <c r="F529" s="155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</row>
    <row r="530" spans="1:20">
      <c r="A530" s="153"/>
      <c r="B530" s="153"/>
      <c r="C530" s="141"/>
      <c r="D530" s="141"/>
      <c r="E530" s="141"/>
      <c r="F530" s="155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</row>
    <row r="531" spans="1:20">
      <c r="A531" s="153"/>
      <c r="B531" s="153"/>
      <c r="C531" s="141"/>
      <c r="D531" s="141"/>
      <c r="E531" s="141"/>
      <c r="F531" s="155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</row>
    <row r="532" spans="1:20">
      <c r="A532" s="153"/>
      <c r="B532" s="153"/>
      <c r="C532" s="141"/>
      <c r="D532" s="141"/>
      <c r="E532" s="141"/>
      <c r="F532" s="155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</row>
    <row r="533" spans="1:20">
      <c r="A533" s="153"/>
      <c r="B533" s="153"/>
      <c r="C533" s="141"/>
      <c r="D533" s="141"/>
      <c r="E533" s="141"/>
      <c r="F533" s="155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</row>
    <row r="534" spans="1:20">
      <c r="A534" s="153"/>
      <c r="B534" s="153"/>
      <c r="C534" s="141"/>
      <c r="D534" s="141"/>
      <c r="E534" s="141"/>
      <c r="F534" s="155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</row>
    <row r="535" spans="1:20">
      <c r="A535" s="153"/>
      <c r="B535" s="153"/>
      <c r="C535" s="141"/>
      <c r="D535" s="141"/>
      <c r="E535" s="141"/>
      <c r="F535" s="155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</row>
    <row r="536" spans="1:20">
      <c r="A536" s="153"/>
      <c r="B536" s="153"/>
      <c r="C536" s="141"/>
      <c r="D536" s="141"/>
      <c r="E536" s="141"/>
      <c r="F536" s="155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</row>
    <row r="537" spans="1:20">
      <c r="A537" s="153"/>
      <c r="B537" s="153"/>
      <c r="C537" s="141"/>
      <c r="D537" s="141"/>
      <c r="E537" s="141"/>
      <c r="F537" s="155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</row>
    <row r="538" spans="1:20">
      <c r="A538" s="153"/>
      <c r="B538" s="153"/>
      <c r="C538" s="141"/>
      <c r="D538" s="141"/>
      <c r="E538" s="141"/>
      <c r="F538" s="155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</row>
    <row r="539" spans="1:20">
      <c r="A539" s="153"/>
      <c r="B539" s="153"/>
      <c r="C539" s="141"/>
      <c r="D539" s="141"/>
      <c r="E539" s="141"/>
      <c r="F539" s="155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</row>
    <row r="540" spans="1:20">
      <c r="A540" s="153"/>
      <c r="B540" s="153"/>
      <c r="C540" s="141"/>
      <c r="D540" s="141"/>
      <c r="E540" s="141"/>
      <c r="F540" s="155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</row>
    <row r="541" spans="1:20">
      <c r="A541" s="153"/>
      <c r="B541" s="153"/>
      <c r="C541" s="141"/>
      <c r="D541" s="141"/>
      <c r="E541" s="141"/>
      <c r="F541" s="155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</row>
    <row r="542" spans="1:20">
      <c r="A542" s="153"/>
      <c r="B542" s="153"/>
      <c r="C542" s="141"/>
      <c r="D542" s="141"/>
      <c r="E542" s="141"/>
      <c r="F542" s="155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</row>
    <row r="543" spans="1:20">
      <c r="A543" s="153"/>
      <c r="B543" s="153"/>
      <c r="C543" s="141"/>
      <c r="D543" s="141"/>
      <c r="E543" s="141"/>
      <c r="F543" s="155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</row>
    <row r="544" spans="1:20">
      <c r="A544" s="153"/>
      <c r="B544" s="153"/>
      <c r="C544" s="141"/>
      <c r="D544" s="141"/>
      <c r="E544" s="141"/>
      <c r="F544" s="155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</row>
    <row r="545" spans="1:20">
      <c r="A545" s="153"/>
      <c r="B545" s="153"/>
      <c r="C545" s="141"/>
      <c r="D545" s="141"/>
      <c r="E545" s="141"/>
      <c r="F545" s="155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</row>
    <row r="546" spans="1:20">
      <c r="A546" s="153"/>
      <c r="B546" s="153"/>
      <c r="C546" s="141"/>
      <c r="D546" s="141"/>
      <c r="E546" s="141"/>
      <c r="F546" s="155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</row>
    <row r="547" spans="1:20">
      <c r="A547" s="153"/>
      <c r="B547" s="153"/>
      <c r="C547" s="141"/>
      <c r="D547" s="141"/>
      <c r="E547" s="141"/>
      <c r="F547" s="155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</row>
    <row r="548" spans="1:20">
      <c r="A548" s="153"/>
      <c r="B548" s="153"/>
      <c r="C548" s="141"/>
      <c r="D548" s="141"/>
      <c r="E548" s="141"/>
      <c r="F548" s="155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</row>
    <row r="549" spans="1:20">
      <c r="A549" s="153"/>
      <c r="B549" s="153"/>
      <c r="C549" s="141"/>
      <c r="D549" s="141"/>
      <c r="E549" s="141"/>
      <c r="F549" s="155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</row>
    <row r="550" spans="1:20">
      <c r="A550" s="153"/>
      <c r="B550" s="153"/>
      <c r="C550" s="141"/>
      <c r="D550" s="141"/>
      <c r="E550" s="141"/>
      <c r="F550" s="155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</row>
    <row r="551" spans="1:20">
      <c r="A551" s="153"/>
      <c r="B551" s="153"/>
      <c r="C551" s="141"/>
      <c r="D551" s="141"/>
      <c r="E551" s="141"/>
      <c r="F551" s="155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</row>
    <row r="552" spans="1:20">
      <c r="A552" s="153"/>
      <c r="B552" s="153"/>
      <c r="C552" s="141"/>
      <c r="D552" s="141"/>
      <c r="E552" s="141"/>
      <c r="F552" s="155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</row>
    <row r="553" spans="1:20">
      <c r="A553" s="153"/>
      <c r="B553" s="153"/>
      <c r="C553" s="141"/>
      <c r="D553" s="141"/>
      <c r="E553" s="141"/>
      <c r="F553" s="155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</row>
    <row r="554" spans="1:20">
      <c r="A554" s="153"/>
      <c r="B554" s="153"/>
      <c r="C554" s="141"/>
      <c r="D554" s="141"/>
      <c r="E554" s="141"/>
      <c r="F554" s="155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</row>
    <row r="555" spans="1:20">
      <c r="A555" s="153"/>
      <c r="B555" s="153"/>
      <c r="C555" s="141"/>
      <c r="D555" s="141"/>
      <c r="E555" s="141"/>
      <c r="F555" s="155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</row>
    <row r="556" spans="1:20">
      <c r="A556" s="153"/>
      <c r="B556" s="153"/>
      <c r="C556" s="141"/>
      <c r="D556" s="141"/>
      <c r="E556" s="141"/>
      <c r="F556" s="155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</row>
    <row r="557" spans="1:20">
      <c r="A557" s="153"/>
      <c r="B557" s="153"/>
      <c r="C557" s="141"/>
      <c r="D557" s="141"/>
      <c r="E557" s="141"/>
      <c r="F557" s="155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</row>
    <row r="558" spans="1:20">
      <c r="A558" s="153"/>
      <c r="B558" s="153"/>
      <c r="C558" s="141"/>
      <c r="D558" s="141"/>
      <c r="E558" s="141"/>
      <c r="F558" s="155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</row>
    <row r="559" spans="1:20">
      <c r="A559" s="153"/>
      <c r="B559" s="153"/>
      <c r="C559" s="141"/>
      <c r="D559" s="141"/>
      <c r="E559" s="141"/>
      <c r="F559" s="155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</row>
    <row r="560" spans="1:20">
      <c r="A560" s="153"/>
      <c r="B560" s="153"/>
      <c r="C560" s="141"/>
      <c r="D560" s="141"/>
      <c r="E560" s="141"/>
      <c r="F560" s="155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</row>
    <row r="561" spans="1:20">
      <c r="A561" s="153"/>
      <c r="B561" s="153"/>
      <c r="C561" s="141"/>
      <c r="D561" s="141"/>
      <c r="E561" s="141"/>
      <c r="F561" s="155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</row>
    <row r="562" spans="1:20">
      <c r="A562" s="153"/>
      <c r="B562" s="153"/>
      <c r="C562" s="141"/>
      <c r="D562" s="141"/>
      <c r="E562" s="141"/>
      <c r="F562" s="155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</row>
    <row r="563" spans="1:20">
      <c r="A563" s="153"/>
      <c r="B563" s="153"/>
      <c r="C563" s="141"/>
      <c r="D563" s="141"/>
      <c r="E563" s="141"/>
      <c r="F563" s="155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</row>
    <row r="564" spans="1:20">
      <c r="A564" s="153"/>
      <c r="B564" s="153"/>
      <c r="C564" s="141"/>
      <c r="D564" s="141"/>
      <c r="E564" s="141"/>
      <c r="F564" s="155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</row>
    <row r="565" spans="1:20">
      <c r="A565" s="153"/>
      <c r="B565" s="153"/>
      <c r="C565" s="141"/>
      <c r="D565" s="141"/>
      <c r="E565" s="141"/>
      <c r="F565" s="155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</row>
    <row r="566" spans="1:20">
      <c r="A566" s="153"/>
      <c r="B566" s="153"/>
      <c r="C566" s="141"/>
      <c r="D566" s="141"/>
      <c r="E566" s="141"/>
      <c r="F566" s="155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</row>
    <row r="567" spans="1:20">
      <c r="A567" s="153"/>
      <c r="B567" s="153"/>
      <c r="C567" s="141"/>
      <c r="D567" s="141"/>
      <c r="E567" s="141"/>
      <c r="F567" s="155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</row>
    <row r="568" spans="1:20">
      <c r="A568" s="153"/>
      <c r="B568" s="153"/>
      <c r="C568" s="141"/>
      <c r="D568" s="141"/>
      <c r="E568" s="141"/>
      <c r="F568" s="155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</row>
    <row r="569" spans="1:20">
      <c r="A569" s="153"/>
      <c r="B569" s="153"/>
      <c r="C569" s="141"/>
      <c r="D569" s="141"/>
      <c r="E569" s="141"/>
      <c r="F569" s="155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</row>
    <row r="570" spans="1:20">
      <c r="A570" s="153"/>
      <c r="B570" s="153"/>
      <c r="C570" s="141"/>
      <c r="D570" s="141"/>
      <c r="E570" s="141"/>
      <c r="F570" s="155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</row>
    <row r="571" spans="1:20">
      <c r="A571" s="153"/>
      <c r="B571" s="153"/>
      <c r="C571" s="141"/>
      <c r="D571" s="141"/>
      <c r="E571" s="141"/>
      <c r="F571" s="155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</row>
    <row r="572" spans="1:20">
      <c r="A572" s="153"/>
      <c r="B572" s="153"/>
      <c r="C572" s="141"/>
      <c r="D572" s="141"/>
      <c r="E572" s="141"/>
      <c r="F572" s="155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</row>
    <row r="573" spans="1:20">
      <c r="A573" s="153"/>
      <c r="B573" s="153"/>
      <c r="C573" s="141"/>
      <c r="D573" s="141"/>
      <c r="E573" s="141"/>
      <c r="F573" s="155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</row>
    <row r="574" spans="1:20">
      <c r="A574" s="153"/>
      <c r="B574" s="153"/>
      <c r="C574" s="141"/>
      <c r="D574" s="141"/>
      <c r="E574" s="141"/>
      <c r="F574" s="155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</row>
    <row r="575" spans="1:20">
      <c r="A575" s="153"/>
      <c r="B575" s="153"/>
      <c r="C575" s="141"/>
      <c r="D575" s="141"/>
      <c r="E575" s="141"/>
      <c r="F575" s="155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</row>
    <row r="576" spans="1:20">
      <c r="A576" s="153"/>
      <c r="B576" s="153"/>
      <c r="C576" s="141"/>
      <c r="D576" s="141"/>
      <c r="E576" s="141"/>
      <c r="F576" s="155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</row>
    <row r="577" spans="1:20">
      <c r="A577" s="153"/>
      <c r="B577" s="153"/>
      <c r="C577" s="141"/>
      <c r="D577" s="141"/>
      <c r="E577" s="141"/>
      <c r="F577" s="155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</row>
    <row r="578" spans="1:20">
      <c r="A578" s="153"/>
      <c r="B578" s="153"/>
      <c r="C578" s="141"/>
      <c r="D578" s="141"/>
      <c r="E578" s="141"/>
      <c r="F578" s="155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</row>
    <row r="579" spans="1:20">
      <c r="A579" s="153"/>
      <c r="B579" s="153"/>
      <c r="C579" s="141"/>
      <c r="D579" s="141"/>
      <c r="E579" s="141"/>
      <c r="F579" s="155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</row>
    <row r="580" spans="1:20">
      <c r="A580" s="153"/>
      <c r="B580" s="153"/>
      <c r="C580" s="141"/>
      <c r="D580" s="141"/>
      <c r="E580" s="141"/>
      <c r="F580" s="155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</row>
    <row r="581" spans="1:20">
      <c r="A581" s="153"/>
      <c r="B581" s="153"/>
      <c r="C581" s="141"/>
      <c r="D581" s="141"/>
      <c r="E581" s="141"/>
      <c r="F581" s="155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</row>
    <row r="582" spans="1:20">
      <c r="A582" s="153"/>
      <c r="B582" s="153"/>
      <c r="C582" s="141"/>
      <c r="D582" s="141"/>
      <c r="E582" s="141"/>
      <c r="F582" s="155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</row>
    <row r="583" spans="1:20">
      <c r="A583" s="153"/>
      <c r="B583" s="153"/>
      <c r="C583" s="141"/>
      <c r="D583" s="141"/>
      <c r="E583" s="141"/>
      <c r="F583" s="155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</row>
    <row r="584" spans="1:20">
      <c r="A584" s="153"/>
      <c r="B584" s="153"/>
      <c r="C584" s="141"/>
      <c r="D584" s="141"/>
      <c r="E584" s="141"/>
      <c r="F584" s="155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</row>
    <row r="585" spans="1:20">
      <c r="A585" s="153"/>
      <c r="B585" s="153"/>
      <c r="C585" s="141"/>
      <c r="D585" s="141"/>
      <c r="E585" s="141"/>
      <c r="F585" s="155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</row>
    <row r="586" spans="1:20">
      <c r="A586" s="153"/>
      <c r="B586" s="153"/>
      <c r="C586" s="141"/>
      <c r="D586" s="141"/>
      <c r="E586" s="141"/>
      <c r="F586" s="155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</row>
    <row r="587" spans="1:20">
      <c r="A587" s="153"/>
      <c r="B587" s="153"/>
      <c r="C587" s="141"/>
      <c r="D587" s="141"/>
      <c r="E587" s="141"/>
      <c r="F587" s="155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</row>
    <row r="588" spans="1:20">
      <c r="A588" s="153"/>
      <c r="B588" s="153"/>
      <c r="C588" s="141"/>
      <c r="D588" s="141"/>
      <c r="E588" s="141"/>
      <c r="F588" s="155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</row>
    <row r="589" spans="1:20">
      <c r="A589" s="153"/>
      <c r="B589" s="153"/>
      <c r="C589" s="141"/>
      <c r="D589" s="141"/>
      <c r="E589" s="141"/>
      <c r="F589" s="155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</row>
    <row r="590" spans="1:20">
      <c r="A590" s="153"/>
      <c r="B590" s="153"/>
      <c r="C590" s="141"/>
      <c r="D590" s="141"/>
      <c r="E590" s="141"/>
      <c r="F590" s="155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</row>
    <row r="591" spans="1:20">
      <c r="A591" s="153"/>
      <c r="B591" s="153"/>
      <c r="C591" s="141"/>
      <c r="D591" s="141"/>
      <c r="E591" s="141"/>
      <c r="F591" s="155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</row>
    <row r="592" spans="1:20">
      <c r="A592" s="153"/>
      <c r="B592" s="153"/>
      <c r="C592" s="141"/>
      <c r="D592" s="141"/>
      <c r="E592" s="141"/>
      <c r="F592" s="155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</row>
    <row r="593" spans="1:20">
      <c r="A593" s="153"/>
      <c r="B593" s="153"/>
      <c r="C593" s="141"/>
      <c r="D593" s="141"/>
      <c r="E593" s="141"/>
      <c r="F593" s="155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</row>
    <row r="594" spans="1:20">
      <c r="A594" s="153"/>
      <c r="B594" s="153"/>
      <c r="C594" s="141"/>
      <c r="D594" s="141"/>
      <c r="E594" s="141"/>
      <c r="F594" s="155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</row>
    <row r="595" spans="1:20">
      <c r="A595" s="153"/>
      <c r="B595" s="153"/>
      <c r="C595" s="141"/>
      <c r="D595" s="141"/>
      <c r="E595" s="141"/>
      <c r="F595" s="155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</row>
    <row r="596" spans="1:20">
      <c r="A596" s="153"/>
      <c r="B596" s="153"/>
      <c r="C596" s="141"/>
      <c r="D596" s="141"/>
      <c r="E596" s="141"/>
      <c r="F596" s="155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</row>
    <row r="597" spans="1:20">
      <c r="A597" s="153"/>
      <c r="B597" s="153"/>
      <c r="C597" s="141"/>
      <c r="D597" s="141"/>
      <c r="E597" s="141"/>
      <c r="F597" s="155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</row>
    <row r="598" spans="1:20">
      <c r="A598" s="153"/>
      <c r="B598" s="153"/>
      <c r="C598" s="141"/>
      <c r="D598" s="141"/>
      <c r="E598" s="141"/>
      <c r="F598" s="155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</row>
    <row r="599" spans="1:20">
      <c r="A599" s="153"/>
      <c r="B599" s="153"/>
      <c r="C599" s="141"/>
      <c r="D599" s="141"/>
      <c r="E599" s="141"/>
      <c r="F599" s="155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</row>
    <row r="600" spans="1:20">
      <c r="A600" s="153"/>
      <c r="B600" s="153"/>
      <c r="C600" s="141"/>
      <c r="D600" s="141"/>
      <c r="E600" s="141"/>
      <c r="F600" s="155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</row>
    <row r="601" spans="1:20">
      <c r="A601" s="153"/>
      <c r="B601" s="153"/>
      <c r="C601" s="141"/>
      <c r="D601" s="141"/>
      <c r="E601" s="141"/>
      <c r="F601" s="155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</row>
    <row r="602" spans="1:20">
      <c r="A602" s="153"/>
      <c r="B602" s="153"/>
      <c r="C602" s="141"/>
      <c r="D602" s="141"/>
      <c r="E602" s="141"/>
      <c r="F602" s="155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</row>
    <row r="603" spans="1:20">
      <c r="A603" s="153"/>
      <c r="B603" s="153"/>
      <c r="C603" s="141"/>
      <c r="D603" s="141"/>
      <c r="E603" s="141"/>
      <c r="F603" s="155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</row>
    <row r="604" spans="1:20">
      <c r="A604" s="153"/>
      <c r="B604" s="153"/>
      <c r="C604" s="141"/>
      <c r="D604" s="141"/>
      <c r="E604" s="141"/>
      <c r="F604" s="155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</row>
    <row r="605" spans="1:20">
      <c r="A605" s="153"/>
      <c r="B605" s="153"/>
      <c r="C605" s="141"/>
      <c r="D605" s="141"/>
      <c r="E605" s="141"/>
      <c r="F605" s="155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</row>
    <row r="606" spans="1:20">
      <c r="A606" s="153"/>
      <c r="B606" s="153"/>
      <c r="C606" s="141"/>
      <c r="D606" s="141"/>
      <c r="E606" s="141"/>
      <c r="F606" s="155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</row>
    <row r="607" spans="1:20">
      <c r="A607" s="153"/>
      <c r="B607" s="153"/>
      <c r="C607" s="141"/>
      <c r="D607" s="141"/>
      <c r="E607" s="141"/>
      <c r="F607" s="155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</row>
    <row r="608" spans="1:20">
      <c r="A608" s="153"/>
      <c r="B608" s="153"/>
      <c r="C608" s="141"/>
      <c r="D608" s="141"/>
      <c r="E608" s="141"/>
      <c r="F608" s="155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</row>
    <row r="609" spans="1:20">
      <c r="A609" s="153"/>
      <c r="B609" s="153"/>
      <c r="C609" s="141"/>
      <c r="D609" s="141"/>
      <c r="E609" s="141"/>
      <c r="F609" s="155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</row>
    <row r="610" spans="1:20">
      <c r="A610" s="153"/>
      <c r="B610" s="153"/>
      <c r="C610" s="141"/>
      <c r="D610" s="141"/>
      <c r="E610" s="141"/>
      <c r="F610" s="155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</row>
    <row r="611" spans="1:20">
      <c r="A611" s="153"/>
      <c r="B611" s="153"/>
      <c r="C611" s="141"/>
      <c r="D611" s="141"/>
      <c r="E611" s="141"/>
      <c r="F611" s="155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</row>
    <row r="612" spans="1:20">
      <c r="A612" s="153"/>
      <c r="B612" s="153"/>
      <c r="C612" s="141"/>
      <c r="D612" s="141"/>
      <c r="E612" s="141"/>
      <c r="F612" s="155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</row>
    <row r="613" spans="1:20">
      <c r="A613" s="153"/>
      <c r="B613" s="153"/>
      <c r="C613" s="141"/>
      <c r="D613" s="141"/>
      <c r="E613" s="141"/>
      <c r="F613" s="155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</row>
    <row r="614" spans="1:20">
      <c r="A614" s="153"/>
      <c r="B614" s="153"/>
      <c r="C614" s="141"/>
      <c r="D614" s="141"/>
      <c r="E614" s="141"/>
      <c r="F614" s="155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</row>
    <row r="615" spans="1:20">
      <c r="A615" s="153"/>
      <c r="B615" s="153"/>
      <c r="C615" s="141"/>
      <c r="D615" s="141"/>
      <c r="E615" s="141"/>
      <c r="F615" s="155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</row>
    <row r="616" spans="1:20">
      <c r="A616" s="153"/>
      <c r="B616" s="153"/>
      <c r="C616" s="141"/>
      <c r="D616" s="141"/>
      <c r="E616" s="141"/>
      <c r="F616" s="155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</row>
    <row r="617" spans="1:20">
      <c r="A617" s="153"/>
      <c r="B617" s="153"/>
      <c r="C617" s="141"/>
      <c r="D617" s="141"/>
      <c r="E617" s="141"/>
      <c r="F617" s="155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</row>
    <row r="618" spans="1:20">
      <c r="A618" s="153"/>
      <c r="B618" s="153"/>
      <c r="C618" s="141"/>
      <c r="D618" s="141"/>
      <c r="E618" s="141"/>
      <c r="F618" s="155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</row>
    <row r="619" spans="1:20">
      <c r="A619" s="153"/>
      <c r="B619" s="153"/>
      <c r="C619" s="141"/>
      <c r="D619" s="141"/>
      <c r="E619" s="141"/>
      <c r="F619" s="155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</row>
    <row r="620" spans="1:20">
      <c r="A620" s="153"/>
      <c r="B620" s="153"/>
      <c r="C620" s="141"/>
      <c r="D620" s="141"/>
      <c r="E620" s="141"/>
      <c r="F620" s="155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</row>
    <row r="621" spans="1:20">
      <c r="A621" s="153"/>
      <c r="B621" s="153"/>
      <c r="C621" s="141"/>
      <c r="D621" s="141"/>
      <c r="E621" s="141"/>
      <c r="F621" s="155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</row>
    <row r="622" spans="1:20">
      <c r="A622" s="153"/>
      <c r="B622" s="153"/>
      <c r="C622" s="141"/>
      <c r="D622" s="141"/>
      <c r="E622" s="141"/>
      <c r="F622" s="155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</row>
    <row r="623" spans="1:20">
      <c r="A623" s="153"/>
      <c r="B623" s="153"/>
      <c r="C623" s="141"/>
      <c r="D623" s="141"/>
      <c r="E623" s="141"/>
      <c r="F623" s="155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</row>
    <row r="624" spans="1:20">
      <c r="A624" s="153"/>
      <c r="B624" s="153"/>
      <c r="C624" s="141"/>
      <c r="D624" s="141"/>
      <c r="E624" s="141"/>
      <c r="F624" s="155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</row>
    <row r="625" spans="1:20">
      <c r="A625" s="153"/>
      <c r="B625" s="153"/>
      <c r="C625" s="141"/>
      <c r="D625" s="141"/>
      <c r="E625" s="141"/>
      <c r="F625" s="155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</row>
    <row r="626" spans="1:20">
      <c r="A626" s="153"/>
      <c r="B626" s="153"/>
      <c r="C626" s="141"/>
      <c r="D626" s="141"/>
      <c r="E626" s="141"/>
      <c r="F626" s="155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</row>
    <row r="627" spans="1:20">
      <c r="A627" s="153"/>
      <c r="B627" s="153"/>
      <c r="C627" s="141"/>
      <c r="D627" s="141"/>
      <c r="E627" s="141"/>
      <c r="F627" s="155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</row>
    <row r="628" spans="1:20">
      <c r="A628" s="153"/>
      <c r="B628" s="153"/>
      <c r="C628" s="141"/>
      <c r="D628" s="141"/>
      <c r="E628" s="141"/>
      <c r="F628" s="155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</row>
    <row r="629" spans="1:20">
      <c r="A629" s="153"/>
      <c r="B629" s="153"/>
      <c r="C629" s="141"/>
      <c r="D629" s="141"/>
      <c r="E629" s="141"/>
      <c r="F629" s="155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</row>
    <row r="630" spans="1:20">
      <c r="A630" s="153"/>
      <c r="B630" s="153"/>
      <c r="C630" s="141"/>
      <c r="D630" s="141"/>
      <c r="E630" s="141"/>
      <c r="F630" s="155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</row>
    <row r="631" spans="1:20">
      <c r="A631" s="153"/>
      <c r="B631" s="153"/>
      <c r="C631" s="141"/>
      <c r="D631" s="141"/>
      <c r="E631" s="141"/>
      <c r="F631" s="155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</row>
    <row r="632" spans="1:20">
      <c r="A632" s="153"/>
      <c r="B632" s="153"/>
      <c r="C632" s="141"/>
      <c r="D632" s="141"/>
      <c r="E632" s="141"/>
      <c r="F632" s="155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</row>
    <row r="633" spans="1:20">
      <c r="A633" s="153"/>
      <c r="B633" s="153"/>
      <c r="C633" s="141"/>
      <c r="D633" s="141"/>
      <c r="E633" s="141"/>
      <c r="F633" s="155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</row>
    <row r="634" spans="1:20">
      <c r="A634" s="153"/>
      <c r="B634" s="153"/>
      <c r="C634" s="141"/>
      <c r="D634" s="141"/>
      <c r="E634" s="141"/>
      <c r="F634" s="155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</row>
    <row r="635" spans="1:20">
      <c r="A635" s="153"/>
      <c r="B635" s="153"/>
      <c r="C635" s="141"/>
      <c r="D635" s="141"/>
      <c r="E635" s="141"/>
      <c r="F635" s="155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</row>
    <row r="636" spans="1:20">
      <c r="A636" s="153"/>
      <c r="B636" s="153"/>
      <c r="C636" s="141"/>
      <c r="D636" s="141"/>
      <c r="E636" s="141"/>
      <c r="F636" s="155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</row>
    <row r="637" spans="1:20">
      <c r="A637" s="153"/>
      <c r="B637" s="153"/>
      <c r="C637" s="141"/>
      <c r="D637" s="141"/>
      <c r="E637" s="141"/>
      <c r="F637" s="155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</row>
    <row r="638" spans="1:20">
      <c r="A638" s="153"/>
      <c r="B638" s="153"/>
      <c r="C638" s="141"/>
      <c r="D638" s="141"/>
      <c r="E638" s="141"/>
      <c r="F638" s="155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</row>
    <row r="639" spans="1:20">
      <c r="A639" s="153"/>
      <c r="B639" s="153"/>
      <c r="C639" s="141"/>
      <c r="D639" s="141"/>
      <c r="E639" s="141"/>
      <c r="F639" s="155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</row>
    <row r="640" spans="1:20">
      <c r="A640" s="153"/>
      <c r="B640" s="153"/>
      <c r="C640" s="141"/>
      <c r="D640" s="141"/>
      <c r="E640" s="141"/>
      <c r="F640" s="155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</row>
    <row r="641" spans="1:20">
      <c r="A641" s="153"/>
      <c r="B641" s="153"/>
      <c r="C641" s="141"/>
      <c r="D641" s="141"/>
      <c r="E641" s="141"/>
      <c r="F641" s="155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</row>
    <row r="642" spans="1:20">
      <c r="A642" s="153"/>
      <c r="B642" s="153"/>
      <c r="C642" s="141"/>
      <c r="D642" s="141"/>
      <c r="E642" s="141"/>
      <c r="F642" s="155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</row>
    <row r="643" spans="1:20">
      <c r="A643" s="153"/>
      <c r="B643" s="153"/>
      <c r="C643" s="141"/>
      <c r="D643" s="141"/>
      <c r="E643" s="141"/>
      <c r="F643" s="155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</row>
    <row r="644" spans="1:20">
      <c r="A644" s="153"/>
      <c r="B644" s="153"/>
      <c r="C644" s="141"/>
      <c r="D644" s="141"/>
      <c r="E644" s="141"/>
      <c r="F644" s="155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</row>
    <row r="645" spans="1:20">
      <c r="A645" s="153"/>
      <c r="B645" s="153"/>
      <c r="C645" s="141"/>
      <c r="D645" s="141"/>
      <c r="E645" s="141"/>
      <c r="F645" s="155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</row>
    <row r="646" spans="1:20">
      <c r="A646" s="153"/>
      <c r="B646" s="153"/>
      <c r="C646" s="141"/>
      <c r="D646" s="141"/>
      <c r="E646" s="141"/>
      <c r="F646" s="155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</row>
    <row r="647" spans="1:20">
      <c r="A647" s="153"/>
      <c r="B647" s="153"/>
      <c r="C647" s="141"/>
      <c r="D647" s="141"/>
      <c r="E647" s="141"/>
      <c r="F647" s="155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</row>
    <row r="648" spans="1:20">
      <c r="A648" s="153"/>
      <c r="B648" s="153"/>
      <c r="C648" s="141"/>
      <c r="D648" s="141"/>
      <c r="E648" s="141"/>
      <c r="F648" s="155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</row>
    <row r="649" spans="1:20">
      <c r="A649" s="153"/>
      <c r="B649" s="153"/>
      <c r="C649" s="141"/>
      <c r="D649" s="141"/>
      <c r="E649" s="141"/>
      <c r="F649" s="155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</row>
    <row r="650" spans="1:20">
      <c r="A650" s="153"/>
      <c r="B650" s="153"/>
      <c r="C650" s="141"/>
      <c r="D650" s="141"/>
      <c r="E650" s="141"/>
      <c r="F650" s="155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</row>
    <row r="651" spans="1:20">
      <c r="A651" s="153"/>
      <c r="B651" s="153"/>
      <c r="C651" s="141"/>
      <c r="D651" s="141"/>
      <c r="E651" s="141"/>
      <c r="F651" s="155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</row>
    <row r="652" spans="1:20">
      <c r="A652" s="153"/>
      <c r="B652" s="153"/>
      <c r="C652" s="141"/>
      <c r="D652" s="141"/>
      <c r="E652" s="141"/>
      <c r="F652" s="155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</row>
    <row r="653" spans="1:20">
      <c r="A653" s="153"/>
      <c r="B653" s="153"/>
      <c r="C653" s="141"/>
      <c r="D653" s="141"/>
      <c r="E653" s="141"/>
      <c r="F653" s="155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</row>
    <row r="654" spans="1:20">
      <c r="A654" s="153"/>
      <c r="B654" s="153"/>
      <c r="C654" s="141"/>
      <c r="D654" s="141"/>
      <c r="E654" s="141"/>
      <c r="F654" s="155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</row>
    <row r="655" spans="1:20">
      <c r="A655" s="153"/>
      <c r="B655" s="153"/>
      <c r="C655" s="141"/>
      <c r="D655" s="141"/>
      <c r="E655" s="141"/>
      <c r="F655" s="155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</row>
    <row r="656" spans="1:20">
      <c r="A656" s="153"/>
      <c r="B656" s="153"/>
      <c r="C656" s="141"/>
      <c r="D656" s="141"/>
      <c r="E656" s="141"/>
      <c r="F656" s="155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</row>
    <row r="657" spans="1:20">
      <c r="A657" s="153"/>
      <c r="B657" s="153"/>
      <c r="C657" s="141"/>
      <c r="D657" s="141"/>
      <c r="E657" s="141"/>
      <c r="F657" s="155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</row>
    <row r="658" spans="1:20">
      <c r="A658" s="153"/>
      <c r="B658" s="153"/>
      <c r="C658" s="141"/>
      <c r="D658" s="141"/>
      <c r="E658" s="141"/>
      <c r="F658" s="155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</row>
    <row r="659" spans="1:20">
      <c r="A659" s="153"/>
      <c r="B659" s="153"/>
      <c r="C659" s="141"/>
      <c r="D659" s="141"/>
      <c r="E659" s="141"/>
      <c r="F659" s="155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</row>
    <row r="660" spans="1:20">
      <c r="A660" s="153"/>
      <c r="B660" s="153"/>
      <c r="C660" s="141"/>
      <c r="D660" s="141"/>
      <c r="E660" s="141"/>
      <c r="F660" s="155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</row>
    <row r="661" spans="1:20">
      <c r="A661" s="153"/>
      <c r="B661" s="153"/>
      <c r="C661" s="141"/>
      <c r="D661" s="141"/>
      <c r="E661" s="141"/>
      <c r="F661" s="155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</row>
    <row r="662" spans="1:20">
      <c r="A662" s="153"/>
      <c r="B662" s="153"/>
      <c r="C662" s="141"/>
      <c r="D662" s="141"/>
      <c r="E662" s="141"/>
      <c r="F662" s="155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</row>
    <row r="663" spans="1:20">
      <c r="A663" s="153"/>
      <c r="B663" s="153"/>
      <c r="C663" s="141"/>
      <c r="D663" s="141"/>
      <c r="E663" s="141"/>
      <c r="F663" s="155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</row>
    <row r="664" spans="1:20">
      <c r="A664" s="153"/>
      <c r="B664" s="153"/>
      <c r="C664" s="141"/>
      <c r="D664" s="141"/>
      <c r="E664" s="141"/>
      <c r="F664" s="155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</row>
    <row r="665" spans="1:20">
      <c r="A665" s="153"/>
      <c r="B665" s="153"/>
      <c r="C665" s="141"/>
      <c r="D665" s="141"/>
      <c r="E665" s="141"/>
      <c r="F665" s="155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</row>
    <row r="666" spans="1:20">
      <c r="A666" s="153"/>
      <c r="B666" s="153"/>
      <c r="C666" s="141"/>
      <c r="D666" s="141"/>
      <c r="E666" s="141"/>
      <c r="F666" s="155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</row>
    <row r="667" spans="1:20">
      <c r="A667" s="153"/>
      <c r="B667" s="153"/>
      <c r="C667" s="141"/>
      <c r="D667" s="141"/>
      <c r="E667" s="141"/>
      <c r="F667" s="155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</row>
    <row r="668" spans="1:20">
      <c r="A668" s="153"/>
      <c r="B668" s="153"/>
      <c r="C668" s="141"/>
      <c r="D668" s="141"/>
      <c r="E668" s="141"/>
      <c r="F668" s="155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</row>
    <row r="669" spans="1:20">
      <c r="A669" s="153"/>
      <c r="B669" s="153"/>
      <c r="C669" s="141"/>
      <c r="D669" s="141"/>
      <c r="E669" s="141"/>
      <c r="F669" s="155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</row>
    <row r="670" spans="1:20">
      <c r="A670" s="153"/>
      <c r="B670" s="153"/>
      <c r="C670" s="141"/>
      <c r="D670" s="141"/>
      <c r="E670" s="141"/>
      <c r="F670" s="155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</row>
    <row r="671" spans="1:20">
      <c r="A671" s="153"/>
      <c r="B671" s="153"/>
      <c r="C671" s="141"/>
      <c r="D671" s="141"/>
      <c r="E671" s="141"/>
      <c r="F671" s="155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</row>
    <row r="672" spans="1:20">
      <c r="A672" s="153"/>
      <c r="B672" s="153"/>
      <c r="C672" s="141"/>
      <c r="D672" s="141"/>
      <c r="E672" s="141"/>
      <c r="F672" s="155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</row>
    <row r="673" spans="1:20">
      <c r="A673" s="153"/>
      <c r="B673" s="153"/>
      <c r="C673" s="141"/>
      <c r="D673" s="141"/>
      <c r="E673" s="141"/>
      <c r="F673" s="155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</row>
    <row r="674" spans="1:20">
      <c r="A674" s="153"/>
      <c r="B674" s="153"/>
      <c r="C674" s="141"/>
      <c r="D674" s="141"/>
      <c r="E674" s="141"/>
      <c r="F674" s="155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</row>
    <row r="675" spans="1:20">
      <c r="A675" s="153"/>
      <c r="B675" s="153"/>
      <c r="C675" s="141"/>
      <c r="D675" s="141"/>
      <c r="E675" s="141"/>
      <c r="F675" s="155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</row>
    <row r="676" spans="1:20">
      <c r="A676" s="153"/>
      <c r="B676" s="153"/>
      <c r="C676" s="141"/>
      <c r="D676" s="141"/>
      <c r="E676" s="141"/>
      <c r="F676" s="155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</row>
    <row r="677" spans="1:20">
      <c r="A677" s="153"/>
      <c r="B677" s="153"/>
      <c r="C677" s="141"/>
      <c r="D677" s="141"/>
      <c r="E677" s="141"/>
      <c r="F677" s="155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</row>
    <row r="678" spans="1:20">
      <c r="A678" s="153"/>
      <c r="B678" s="153"/>
      <c r="C678" s="141"/>
      <c r="D678" s="141"/>
      <c r="E678" s="141"/>
      <c r="F678" s="155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</row>
    <row r="679" spans="1:20">
      <c r="A679" s="153"/>
      <c r="B679" s="153"/>
      <c r="C679" s="141"/>
      <c r="D679" s="141"/>
      <c r="E679" s="141"/>
      <c r="F679" s="155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</row>
    <row r="680" spans="1:20">
      <c r="A680" s="153"/>
      <c r="B680" s="153"/>
      <c r="C680" s="141"/>
      <c r="D680" s="141"/>
      <c r="E680" s="141"/>
      <c r="F680" s="155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</row>
    <row r="681" spans="1:20">
      <c r="A681" s="153"/>
      <c r="B681" s="153"/>
      <c r="C681" s="141"/>
      <c r="D681" s="141"/>
      <c r="E681" s="141"/>
      <c r="F681" s="155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</row>
    <row r="682" spans="1:20">
      <c r="A682" s="153"/>
      <c r="B682" s="153"/>
      <c r="C682" s="141"/>
      <c r="D682" s="141"/>
      <c r="E682" s="141"/>
      <c r="F682" s="155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</row>
    <row r="683" spans="1:20">
      <c r="A683" s="153"/>
      <c r="B683" s="153"/>
      <c r="C683" s="141"/>
      <c r="D683" s="141"/>
      <c r="E683" s="141"/>
      <c r="F683" s="155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</row>
    <row r="684" spans="1:20">
      <c r="A684" s="153"/>
      <c r="B684" s="153"/>
      <c r="C684" s="141"/>
      <c r="D684" s="141"/>
      <c r="E684" s="141"/>
      <c r="F684" s="155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</row>
    <row r="685" spans="1:20">
      <c r="A685" s="153"/>
      <c r="B685" s="153"/>
      <c r="C685" s="141"/>
      <c r="D685" s="141"/>
      <c r="E685" s="141"/>
      <c r="F685" s="155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</row>
    <row r="686" spans="1:20">
      <c r="A686" s="153"/>
      <c r="B686" s="153"/>
      <c r="C686" s="141"/>
      <c r="D686" s="141"/>
      <c r="E686" s="141"/>
      <c r="F686" s="155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</row>
    <row r="687" spans="1:20">
      <c r="A687" s="153"/>
      <c r="B687" s="153"/>
      <c r="C687" s="141"/>
      <c r="D687" s="141"/>
      <c r="E687" s="141"/>
      <c r="F687" s="155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</row>
    <row r="688" spans="1:20">
      <c r="A688" s="153"/>
      <c r="B688" s="153"/>
      <c r="C688" s="141"/>
      <c r="D688" s="141"/>
      <c r="E688" s="141"/>
      <c r="F688" s="155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</row>
    <row r="689" spans="1:20">
      <c r="A689" s="153"/>
      <c r="B689" s="153"/>
      <c r="C689" s="141"/>
      <c r="D689" s="141"/>
      <c r="E689" s="141"/>
      <c r="F689" s="155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</row>
    <row r="690" spans="1:20">
      <c r="A690" s="153"/>
      <c r="B690" s="153"/>
      <c r="C690" s="141"/>
      <c r="D690" s="141"/>
      <c r="E690" s="141"/>
      <c r="F690" s="155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</row>
    <row r="691" spans="1:20">
      <c r="A691" s="153"/>
      <c r="B691" s="153"/>
      <c r="C691" s="141"/>
      <c r="D691" s="141"/>
      <c r="E691" s="141"/>
      <c r="F691" s="155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</row>
    <row r="692" spans="1:20">
      <c r="A692" s="153"/>
      <c r="B692" s="153"/>
      <c r="C692" s="141"/>
      <c r="D692" s="141"/>
      <c r="E692" s="141"/>
      <c r="F692" s="155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</row>
    <row r="693" spans="1:20">
      <c r="A693" s="153"/>
      <c r="B693" s="153"/>
      <c r="C693" s="141"/>
      <c r="D693" s="141"/>
      <c r="E693" s="141"/>
      <c r="F693" s="155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</row>
    <row r="694" spans="1:20">
      <c r="A694" s="153"/>
      <c r="B694" s="153"/>
      <c r="C694" s="141"/>
      <c r="D694" s="141"/>
      <c r="E694" s="141"/>
      <c r="F694" s="155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</row>
    <row r="695" spans="1:20">
      <c r="A695" s="153"/>
      <c r="B695" s="153"/>
      <c r="C695" s="141"/>
      <c r="D695" s="141"/>
      <c r="E695" s="141"/>
      <c r="F695" s="155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</row>
    <row r="696" spans="1:20">
      <c r="A696" s="153"/>
      <c r="B696" s="153"/>
      <c r="C696" s="141"/>
      <c r="D696" s="141"/>
      <c r="E696" s="141"/>
      <c r="F696" s="155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</row>
    <row r="697" spans="1:20">
      <c r="A697" s="153"/>
      <c r="B697" s="153"/>
      <c r="C697" s="141"/>
      <c r="D697" s="141"/>
      <c r="E697" s="141"/>
      <c r="F697" s="155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</row>
    <row r="698" spans="1:20">
      <c r="A698" s="153"/>
      <c r="B698" s="153"/>
      <c r="C698" s="141"/>
      <c r="D698" s="141"/>
      <c r="E698" s="141"/>
      <c r="F698" s="155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</row>
    <row r="699" spans="1:20">
      <c r="A699" s="153"/>
      <c r="B699" s="153"/>
      <c r="C699" s="141"/>
      <c r="D699" s="141"/>
      <c r="E699" s="141"/>
      <c r="F699" s="155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</row>
    <row r="700" spans="1:20">
      <c r="A700" s="153"/>
      <c r="B700" s="153"/>
      <c r="C700" s="141"/>
      <c r="D700" s="141"/>
      <c r="E700" s="141"/>
      <c r="F700" s="155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</row>
    <row r="701" spans="1:20">
      <c r="A701" s="153"/>
      <c r="B701" s="153"/>
      <c r="C701" s="141"/>
      <c r="D701" s="141"/>
      <c r="E701" s="141"/>
      <c r="F701" s="155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</row>
    <row r="702" spans="1:20">
      <c r="A702" s="153"/>
      <c r="B702" s="153"/>
      <c r="C702" s="141"/>
      <c r="D702" s="141"/>
      <c r="E702" s="141"/>
      <c r="F702" s="155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</row>
    <row r="703" spans="1:20">
      <c r="A703" s="153"/>
      <c r="B703" s="153"/>
      <c r="C703" s="141"/>
      <c r="D703" s="141"/>
      <c r="E703" s="141"/>
      <c r="F703" s="155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</row>
    <row r="704" spans="1:20">
      <c r="A704" s="153"/>
      <c r="B704" s="153"/>
      <c r="C704" s="141"/>
      <c r="D704" s="141"/>
      <c r="E704" s="141"/>
      <c r="F704" s="155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</row>
    <row r="705" spans="1:20">
      <c r="A705" s="153"/>
      <c r="B705" s="153"/>
      <c r="C705" s="141"/>
      <c r="D705" s="141"/>
      <c r="E705" s="141"/>
      <c r="F705" s="155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</row>
    <row r="706" spans="1:20">
      <c r="A706" s="153"/>
      <c r="B706" s="153"/>
      <c r="C706" s="141"/>
      <c r="D706" s="141"/>
      <c r="E706" s="141"/>
      <c r="F706" s="155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</row>
    <row r="707" spans="1:20">
      <c r="A707" s="153"/>
      <c r="B707" s="153"/>
      <c r="C707" s="141"/>
      <c r="D707" s="141"/>
      <c r="E707" s="141"/>
      <c r="F707" s="155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</row>
    <row r="708" spans="1:20">
      <c r="A708" s="153"/>
      <c r="B708" s="153"/>
      <c r="C708" s="141"/>
      <c r="D708" s="141"/>
      <c r="E708" s="141"/>
      <c r="F708" s="155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</row>
    <row r="709" spans="1:20">
      <c r="A709" s="153"/>
      <c r="B709" s="153"/>
      <c r="C709" s="141"/>
      <c r="D709" s="141"/>
      <c r="E709" s="141"/>
      <c r="F709" s="155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</row>
    <row r="710" spans="1:20">
      <c r="A710" s="153"/>
      <c r="B710" s="153"/>
      <c r="C710" s="141"/>
      <c r="D710" s="141"/>
      <c r="E710" s="141"/>
      <c r="F710" s="155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</row>
    <row r="711" spans="1:20">
      <c r="A711" s="153"/>
      <c r="B711" s="153"/>
      <c r="C711" s="141"/>
      <c r="D711" s="141"/>
      <c r="E711" s="141"/>
      <c r="F711" s="155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</row>
    <row r="712" spans="1:20">
      <c r="A712" s="153"/>
      <c r="B712" s="153"/>
      <c r="C712" s="141"/>
      <c r="D712" s="141"/>
      <c r="E712" s="141"/>
      <c r="F712" s="155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</row>
    <row r="713" spans="1:20">
      <c r="A713" s="153"/>
      <c r="B713" s="153"/>
      <c r="C713" s="141"/>
      <c r="D713" s="141"/>
      <c r="E713" s="141"/>
      <c r="F713" s="155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</row>
    <row r="714" spans="1:20">
      <c r="A714" s="153"/>
      <c r="B714" s="153"/>
      <c r="C714" s="141"/>
      <c r="D714" s="141"/>
      <c r="E714" s="141"/>
      <c r="F714" s="155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</row>
    <row r="715" spans="1:20">
      <c r="A715" s="153"/>
      <c r="B715" s="153"/>
      <c r="C715" s="141"/>
      <c r="D715" s="141"/>
      <c r="E715" s="141"/>
      <c r="F715" s="155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</row>
    <row r="716" spans="1:20">
      <c r="A716" s="153"/>
      <c r="B716" s="153"/>
      <c r="C716" s="141"/>
      <c r="D716" s="141"/>
      <c r="E716" s="141"/>
      <c r="F716" s="155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</row>
    <row r="717" spans="1:20">
      <c r="A717" s="153"/>
      <c r="B717" s="153"/>
      <c r="C717" s="141"/>
      <c r="D717" s="141"/>
      <c r="E717" s="141"/>
      <c r="F717" s="155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</row>
    <row r="718" spans="1:20">
      <c r="A718" s="153"/>
      <c r="B718" s="153"/>
      <c r="C718" s="141"/>
      <c r="D718" s="141"/>
      <c r="E718" s="141"/>
      <c r="F718" s="155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</row>
    <row r="719" spans="1:20">
      <c r="A719" s="153"/>
      <c r="B719" s="153"/>
      <c r="C719" s="141"/>
      <c r="D719" s="141"/>
      <c r="E719" s="141"/>
      <c r="F719" s="155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</row>
    <row r="720" spans="1:20">
      <c r="A720" s="153"/>
      <c r="B720" s="153"/>
      <c r="C720" s="141"/>
      <c r="D720" s="141"/>
      <c r="E720" s="141"/>
      <c r="F720" s="155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</row>
    <row r="721" spans="1:20">
      <c r="A721" s="153"/>
      <c r="B721" s="153"/>
      <c r="C721" s="141"/>
      <c r="D721" s="141"/>
      <c r="E721" s="141"/>
      <c r="F721" s="155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</row>
    <row r="722" spans="1:20">
      <c r="A722" s="153"/>
      <c r="B722" s="153"/>
      <c r="C722" s="141"/>
      <c r="D722" s="141"/>
      <c r="E722" s="141"/>
      <c r="F722" s="155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</row>
    <row r="723" spans="1:20">
      <c r="A723" s="153"/>
      <c r="B723" s="153"/>
      <c r="C723" s="141"/>
      <c r="D723" s="141"/>
      <c r="E723" s="141"/>
      <c r="F723" s="155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</row>
    <row r="724" spans="1:20">
      <c r="A724" s="153"/>
      <c r="B724" s="153"/>
      <c r="C724" s="141"/>
      <c r="D724" s="141"/>
      <c r="E724" s="141"/>
      <c r="F724" s="155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</row>
    <row r="725" spans="1:20">
      <c r="A725" s="153"/>
      <c r="B725" s="153"/>
      <c r="C725" s="141"/>
      <c r="D725" s="141"/>
      <c r="E725" s="141"/>
      <c r="F725" s="155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</row>
    <row r="726" spans="1:20">
      <c r="A726" s="153"/>
      <c r="B726" s="153"/>
      <c r="C726" s="141"/>
      <c r="D726" s="141"/>
      <c r="E726" s="141"/>
      <c r="F726" s="155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</row>
    <row r="727" spans="1:20">
      <c r="A727" s="153"/>
      <c r="B727" s="153"/>
      <c r="C727" s="141"/>
      <c r="D727" s="141"/>
      <c r="E727" s="141"/>
      <c r="F727" s="155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</row>
    <row r="728" spans="1:20">
      <c r="A728" s="153"/>
      <c r="B728" s="153"/>
      <c r="C728" s="141"/>
      <c r="D728" s="141"/>
      <c r="E728" s="141"/>
      <c r="F728" s="155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</row>
    <row r="729" spans="1:20">
      <c r="A729" s="153"/>
      <c r="B729" s="153"/>
      <c r="C729" s="141"/>
      <c r="D729" s="141"/>
      <c r="E729" s="141"/>
      <c r="F729" s="155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</row>
    <row r="730" spans="1:20">
      <c r="A730" s="153"/>
      <c r="B730" s="153"/>
      <c r="C730" s="141"/>
      <c r="D730" s="141"/>
      <c r="E730" s="141"/>
      <c r="F730" s="155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</row>
    <row r="731" spans="1:20">
      <c r="A731" s="153"/>
      <c r="B731" s="153"/>
      <c r="C731" s="141"/>
      <c r="D731" s="141"/>
      <c r="E731" s="141"/>
      <c r="F731" s="155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</row>
    <row r="732" spans="1:20">
      <c r="A732" s="153"/>
      <c r="B732" s="153"/>
      <c r="C732" s="141"/>
      <c r="D732" s="141"/>
      <c r="E732" s="141"/>
      <c r="F732" s="155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</row>
    <row r="733" spans="1:20">
      <c r="A733" s="153"/>
      <c r="B733" s="153"/>
      <c r="C733" s="141"/>
      <c r="D733" s="141"/>
      <c r="E733" s="141"/>
      <c r="F733" s="155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</row>
    <row r="734" spans="1:20">
      <c r="A734" s="153"/>
      <c r="B734" s="153"/>
      <c r="C734" s="141"/>
      <c r="D734" s="141"/>
      <c r="E734" s="141"/>
      <c r="F734" s="155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</row>
    <row r="735" spans="1:20">
      <c r="A735" s="153"/>
      <c r="B735" s="153"/>
      <c r="C735" s="141"/>
      <c r="D735" s="141"/>
      <c r="E735" s="141"/>
      <c r="F735" s="155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</row>
    <row r="736" spans="1:20">
      <c r="A736" s="153"/>
      <c r="B736" s="153"/>
      <c r="C736" s="141"/>
      <c r="D736" s="141"/>
      <c r="E736" s="141"/>
      <c r="F736" s="155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</row>
    <row r="737" spans="1:20">
      <c r="A737" s="153"/>
      <c r="B737" s="153"/>
      <c r="C737" s="141"/>
      <c r="D737" s="141"/>
      <c r="E737" s="141"/>
      <c r="F737" s="155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</row>
    <row r="738" spans="1:20">
      <c r="A738" s="153"/>
      <c r="B738" s="153"/>
      <c r="C738" s="141"/>
      <c r="D738" s="141"/>
      <c r="E738" s="141"/>
      <c r="F738" s="155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</row>
    <row r="739" spans="1:20">
      <c r="A739" s="153"/>
      <c r="B739" s="153"/>
      <c r="C739" s="141"/>
      <c r="D739" s="141"/>
      <c r="E739" s="141"/>
      <c r="F739" s="155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</row>
    <row r="740" spans="1:20">
      <c r="A740" s="153"/>
      <c r="B740" s="153"/>
      <c r="C740" s="141"/>
      <c r="D740" s="141"/>
      <c r="E740" s="141"/>
      <c r="F740" s="155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</row>
    <row r="741" spans="1:20">
      <c r="A741" s="153"/>
      <c r="B741" s="153"/>
      <c r="C741" s="141"/>
      <c r="D741" s="141"/>
      <c r="E741" s="141"/>
      <c r="F741" s="155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</row>
    <row r="742" spans="1:20">
      <c r="A742" s="153"/>
      <c r="B742" s="153"/>
      <c r="C742" s="141"/>
      <c r="D742" s="141"/>
      <c r="E742" s="141"/>
      <c r="F742" s="155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</row>
    <row r="743" spans="1:20">
      <c r="A743" s="153"/>
      <c r="B743" s="153"/>
      <c r="C743" s="141"/>
      <c r="D743" s="141"/>
      <c r="E743" s="141"/>
      <c r="F743" s="155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</row>
    <row r="744" spans="1:20">
      <c r="A744" s="153"/>
      <c r="B744" s="153"/>
      <c r="C744" s="141"/>
      <c r="D744" s="141"/>
      <c r="E744" s="141"/>
      <c r="F744" s="155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</row>
    <row r="745" spans="1:20">
      <c r="A745" s="153"/>
      <c r="B745" s="153"/>
      <c r="C745" s="141"/>
      <c r="D745" s="141"/>
      <c r="E745" s="141"/>
      <c r="F745" s="155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</row>
    <row r="746" spans="1:20">
      <c r="A746" s="153"/>
      <c r="B746" s="153"/>
      <c r="C746" s="141"/>
      <c r="D746" s="141"/>
      <c r="E746" s="141"/>
      <c r="F746" s="155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</row>
    <row r="747" spans="1:20">
      <c r="A747" s="153"/>
      <c r="B747" s="153"/>
      <c r="C747" s="141"/>
      <c r="D747" s="141"/>
      <c r="E747" s="141"/>
      <c r="F747" s="155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</row>
    <row r="748" spans="1:20">
      <c r="A748" s="153"/>
      <c r="B748" s="153"/>
      <c r="C748" s="141"/>
      <c r="D748" s="141"/>
      <c r="E748" s="141"/>
      <c r="F748" s="155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</row>
    <row r="749" spans="1:20">
      <c r="A749" s="153"/>
      <c r="B749" s="153"/>
      <c r="C749" s="141"/>
      <c r="D749" s="141"/>
      <c r="E749" s="141"/>
      <c r="F749" s="155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</row>
    <row r="750" spans="1:20">
      <c r="A750" s="153"/>
      <c r="B750" s="153"/>
      <c r="C750" s="141"/>
      <c r="D750" s="141"/>
      <c r="E750" s="141"/>
      <c r="F750" s="155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</row>
    <row r="751" spans="1:20">
      <c r="A751" s="153"/>
      <c r="B751" s="153"/>
      <c r="C751" s="141"/>
      <c r="D751" s="141"/>
      <c r="E751" s="141"/>
      <c r="F751" s="155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</row>
    <row r="752" spans="1:20">
      <c r="A752" s="153"/>
      <c r="B752" s="153"/>
      <c r="C752" s="141"/>
      <c r="D752" s="141"/>
      <c r="E752" s="141"/>
      <c r="F752" s="155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</row>
    <row r="753" spans="1:20">
      <c r="A753" s="153"/>
      <c r="B753" s="153"/>
      <c r="C753" s="141"/>
      <c r="D753" s="141"/>
      <c r="E753" s="141"/>
      <c r="F753" s="155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</row>
    <row r="754" spans="1:20">
      <c r="A754" s="153"/>
      <c r="B754" s="153"/>
      <c r="C754" s="141"/>
      <c r="D754" s="141"/>
      <c r="E754" s="141"/>
      <c r="F754" s="155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</row>
    <row r="755" spans="1:20">
      <c r="A755" s="153"/>
      <c r="B755" s="153"/>
      <c r="C755" s="141"/>
      <c r="D755" s="141"/>
      <c r="E755" s="141"/>
      <c r="F755" s="155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</row>
    <row r="756" spans="1:20">
      <c r="A756" s="153"/>
      <c r="B756" s="153"/>
      <c r="C756" s="141"/>
      <c r="D756" s="141"/>
      <c r="E756" s="141"/>
      <c r="F756" s="155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</row>
    <row r="757" spans="1:20">
      <c r="A757" s="153"/>
      <c r="B757" s="153"/>
      <c r="C757" s="141"/>
      <c r="D757" s="141"/>
      <c r="E757" s="141"/>
      <c r="F757" s="155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</row>
    <row r="758" spans="1:20">
      <c r="A758" s="153"/>
      <c r="B758" s="153"/>
      <c r="C758" s="141"/>
      <c r="D758" s="141"/>
      <c r="E758" s="141"/>
      <c r="F758" s="155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</row>
    <row r="759" spans="1:20">
      <c r="A759" s="153"/>
      <c r="B759" s="153"/>
      <c r="C759" s="141"/>
      <c r="D759" s="141"/>
      <c r="E759" s="141"/>
      <c r="F759" s="155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</row>
    <row r="760" spans="1:20">
      <c r="A760" s="153"/>
      <c r="B760" s="153"/>
      <c r="C760" s="141"/>
      <c r="D760" s="141"/>
      <c r="E760" s="141"/>
      <c r="F760" s="155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</row>
    <row r="761" spans="1:20">
      <c r="A761" s="153"/>
      <c r="B761" s="153"/>
      <c r="C761" s="141"/>
      <c r="D761" s="141"/>
      <c r="E761" s="141"/>
      <c r="F761" s="155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</row>
    <row r="762" spans="1:20">
      <c r="A762" s="153"/>
      <c r="B762" s="153"/>
      <c r="C762" s="141"/>
      <c r="D762" s="141"/>
      <c r="E762" s="141"/>
      <c r="F762" s="155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</row>
    <row r="763" spans="1:20">
      <c r="A763" s="153"/>
      <c r="B763" s="153"/>
      <c r="C763" s="141"/>
      <c r="D763" s="141"/>
      <c r="E763" s="141"/>
      <c r="F763" s="155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</row>
    <row r="764" spans="1:20">
      <c r="A764" s="153"/>
      <c r="B764" s="153"/>
      <c r="C764" s="141"/>
      <c r="D764" s="141"/>
      <c r="E764" s="141"/>
      <c r="F764" s="155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</row>
    <row r="765" spans="1:20">
      <c r="A765" s="153"/>
      <c r="B765" s="153"/>
      <c r="C765" s="141"/>
      <c r="D765" s="141"/>
      <c r="E765" s="141"/>
      <c r="F765" s="155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</row>
    <row r="766" spans="1:20">
      <c r="A766" s="153"/>
      <c r="B766" s="153"/>
      <c r="C766" s="141"/>
      <c r="D766" s="141"/>
      <c r="E766" s="141"/>
      <c r="F766" s="155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</row>
    <row r="767" spans="1:20">
      <c r="A767" s="153"/>
      <c r="B767" s="153"/>
      <c r="C767" s="141"/>
      <c r="D767" s="141"/>
      <c r="E767" s="141"/>
      <c r="F767" s="155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</row>
    <row r="768" spans="1:20">
      <c r="A768" s="153"/>
      <c r="B768" s="153"/>
      <c r="C768" s="141"/>
      <c r="D768" s="141"/>
      <c r="E768" s="141"/>
      <c r="F768" s="155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</row>
    <row r="769" spans="1:20">
      <c r="A769" s="153"/>
      <c r="B769" s="153"/>
      <c r="C769" s="141"/>
      <c r="D769" s="141"/>
      <c r="E769" s="141"/>
      <c r="F769" s="155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</row>
    <row r="770" spans="1:20">
      <c r="A770" s="153"/>
      <c r="B770" s="153"/>
      <c r="C770" s="141"/>
      <c r="D770" s="141"/>
      <c r="E770" s="141"/>
      <c r="F770" s="155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</row>
    <row r="771" spans="1:20">
      <c r="A771" s="153"/>
      <c r="B771" s="153"/>
      <c r="C771" s="141"/>
      <c r="D771" s="141"/>
      <c r="E771" s="141"/>
      <c r="F771" s="155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</row>
    <row r="772" spans="1:20">
      <c r="A772" s="153"/>
      <c r="B772" s="153"/>
      <c r="C772" s="141"/>
      <c r="D772" s="141"/>
      <c r="E772" s="141"/>
      <c r="F772" s="155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</row>
    <row r="773" spans="1:20">
      <c r="A773" s="153"/>
      <c r="B773" s="153"/>
      <c r="C773" s="141"/>
      <c r="D773" s="141"/>
      <c r="E773" s="141"/>
      <c r="F773" s="155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</row>
    <row r="774" spans="1:20">
      <c r="A774" s="153"/>
      <c r="B774" s="153"/>
      <c r="C774" s="141"/>
      <c r="D774" s="141"/>
      <c r="E774" s="141"/>
      <c r="F774" s="155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</row>
    <row r="775" spans="1:20">
      <c r="A775" s="153"/>
      <c r="B775" s="153"/>
      <c r="C775" s="141"/>
      <c r="D775" s="141"/>
      <c r="E775" s="141"/>
      <c r="F775" s="155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</row>
    <row r="776" spans="1:20">
      <c r="A776" s="153"/>
      <c r="B776" s="153"/>
      <c r="C776" s="141"/>
      <c r="D776" s="141"/>
      <c r="E776" s="141"/>
      <c r="F776" s="155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</row>
    <row r="777" spans="1:20">
      <c r="A777" s="153"/>
      <c r="B777" s="153"/>
      <c r="C777" s="141"/>
      <c r="D777" s="141"/>
      <c r="E777" s="141"/>
      <c r="F777" s="155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</row>
    <row r="778" spans="1:20">
      <c r="A778" s="153"/>
      <c r="B778" s="153"/>
      <c r="C778" s="141"/>
      <c r="D778" s="141"/>
      <c r="E778" s="141"/>
      <c r="F778" s="155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</row>
    <row r="779" spans="1:20">
      <c r="A779" s="153"/>
      <c r="B779" s="153"/>
      <c r="C779" s="141"/>
      <c r="D779" s="141"/>
      <c r="E779" s="141"/>
      <c r="F779" s="155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</row>
    <row r="780" spans="1:20">
      <c r="A780" s="153"/>
      <c r="B780" s="153"/>
      <c r="C780" s="141"/>
      <c r="D780" s="141"/>
      <c r="E780" s="141"/>
      <c r="F780" s="155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</row>
    <row r="781" spans="1:20">
      <c r="A781" s="153"/>
      <c r="B781" s="153"/>
      <c r="C781" s="141"/>
      <c r="D781" s="141"/>
      <c r="E781" s="141"/>
      <c r="F781" s="155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</row>
    <row r="782" spans="1:20">
      <c r="A782" s="153"/>
      <c r="B782" s="153"/>
      <c r="C782" s="141"/>
      <c r="D782" s="141"/>
      <c r="E782" s="141"/>
      <c r="F782" s="155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</row>
    <row r="783" spans="1:20">
      <c r="A783" s="153"/>
      <c r="B783" s="153"/>
      <c r="C783" s="141"/>
      <c r="D783" s="141"/>
      <c r="E783" s="141"/>
      <c r="F783" s="155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</row>
    <row r="784" spans="1:20">
      <c r="A784" s="153"/>
      <c r="B784" s="153"/>
      <c r="C784" s="141"/>
      <c r="D784" s="141"/>
      <c r="E784" s="141"/>
      <c r="F784" s="155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</row>
    <row r="785" spans="1:20">
      <c r="A785" s="153"/>
      <c r="B785" s="153"/>
      <c r="C785" s="141"/>
      <c r="D785" s="141"/>
      <c r="E785" s="141"/>
      <c r="F785" s="155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</row>
    <row r="786" spans="1:20">
      <c r="A786" s="153"/>
      <c r="B786" s="153"/>
      <c r="C786" s="141"/>
      <c r="D786" s="141"/>
      <c r="E786" s="141"/>
      <c r="F786" s="155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</row>
    <row r="787" spans="1:20">
      <c r="A787" s="153"/>
      <c r="B787" s="153"/>
      <c r="C787" s="141"/>
      <c r="D787" s="141"/>
      <c r="E787" s="141"/>
      <c r="F787" s="155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</row>
    <row r="788" spans="1:20">
      <c r="A788" s="153"/>
      <c r="B788" s="153"/>
      <c r="C788" s="141"/>
      <c r="D788" s="141"/>
      <c r="E788" s="141"/>
      <c r="F788" s="155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</row>
    <row r="789" spans="1:20">
      <c r="A789" s="153"/>
      <c r="B789" s="153"/>
      <c r="C789" s="141"/>
      <c r="D789" s="141"/>
      <c r="E789" s="141"/>
      <c r="F789" s="155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</row>
    <row r="790" spans="1:20">
      <c r="A790" s="153"/>
      <c r="B790" s="153"/>
      <c r="C790" s="141"/>
      <c r="D790" s="141"/>
      <c r="E790" s="141"/>
      <c r="F790" s="155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</row>
    <row r="791" spans="1:20">
      <c r="A791" s="153"/>
      <c r="B791" s="153"/>
      <c r="C791" s="141"/>
      <c r="D791" s="141"/>
      <c r="E791" s="141"/>
      <c r="F791" s="155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</row>
    <row r="792" spans="1:20">
      <c r="A792" s="153"/>
      <c r="B792" s="153"/>
      <c r="C792" s="141"/>
      <c r="D792" s="141"/>
      <c r="E792" s="141"/>
      <c r="F792" s="155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</row>
    <row r="793" spans="1:20">
      <c r="A793" s="153"/>
      <c r="B793" s="153"/>
      <c r="C793" s="141"/>
      <c r="D793" s="141"/>
      <c r="E793" s="141"/>
      <c r="F793" s="155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</row>
    <row r="794" spans="1:20">
      <c r="A794" s="153"/>
      <c r="B794" s="153"/>
      <c r="C794" s="141"/>
      <c r="D794" s="141"/>
      <c r="E794" s="141"/>
      <c r="F794" s="155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</row>
    <row r="795" spans="1:20">
      <c r="A795" s="153"/>
      <c r="B795" s="153"/>
      <c r="C795" s="141"/>
      <c r="D795" s="141"/>
      <c r="E795" s="141"/>
      <c r="F795" s="155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</row>
    <row r="796" spans="1:20">
      <c r="A796" s="153"/>
      <c r="B796" s="153"/>
      <c r="C796" s="141"/>
      <c r="D796" s="141"/>
      <c r="E796" s="141"/>
      <c r="F796" s="155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</row>
    <row r="797" spans="1:20">
      <c r="A797" s="153"/>
      <c r="B797" s="153"/>
      <c r="C797" s="141"/>
      <c r="D797" s="141"/>
      <c r="E797" s="141"/>
      <c r="F797" s="155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</row>
    <row r="798" spans="1:20">
      <c r="A798" s="153"/>
      <c r="B798" s="153"/>
      <c r="C798" s="141"/>
      <c r="D798" s="141"/>
      <c r="E798" s="141"/>
      <c r="F798" s="155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</row>
    <row r="799" spans="1:20">
      <c r="A799" s="153"/>
      <c r="B799" s="153"/>
      <c r="C799" s="141"/>
      <c r="D799" s="141"/>
      <c r="E799" s="141"/>
      <c r="F799" s="155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</row>
    <row r="800" spans="1:20">
      <c r="A800" s="153"/>
      <c r="B800" s="153"/>
      <c r="C800" s="141"/>
      <c r="D800" s="141"/>
      <c r="E800" s="141"/>
      <c r="F800" s="155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</row>
    <row r="801" spans="1:20">
      <c r="A801" s="153"/>
      <c r="B801" s="153"/>
      <c r="C801" s="141"/>
      <c r="D801" s="141"/>
      <c r="E801" s="141"/>
      <c r="F801" s="155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</row>
    <row r="802" spans="1:20">
      <c r="A802" s="153"/>
      <c r="B802" s="153"/>
      <c r="C802" s="141"/>
      <c r="D802" s="141"/>
      <c r="E802" s="141"/>
      <c r="F802" s="155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</row>
    <row r="803" spans="1:20">
      <c r="A803" s="153"/>
      <c r="B803" s="153"/>
      <c r="C803" s="141"/>
      <c r="D803" s="141"/>
      <c r="E803" s="141"/>
      <c r="F803" s="155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</row>
    <row r="804" spans="1:20">
      <c r="A804" s="153"/>
      <c r="B804" s="153"/>
      <c r="C804" s="141"/>
      <c r="D804" s="141"/>
      <c r="E804" s="141"/>
      <c r="F804" s="155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</row>
    <row r="805" spans="1:20">
      <c r="A805" s="153"/>
      <c r="B805" s="153"/>
      <c r="C805" s="141"/>
      <c r="D805" s="141"/>
      <c r="E805" s="141"/>
      <c r="F805" s="155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</row>
    <row r="806" spans="1:20">
      <c r="A806" s="153"/>
      <c r="B806" s="153"/>
      <c r="C806" s="141"/>
      <c r="D806" s="141"/>
      <c r="E806" s="141"/>
      <c r="F806" s="155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</row>
    <row r="807" spans="1:20">
      <c r="A807" s="153"/>
      <c r="B807" s="153"/>
      <c r="C807" s="141"/>
      <c r="D807" s="141"/>
      <c r="E807" s="141"/>
      <c r="F807" s="155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</row>
    <row r="808" spans="1:20">
      <c r="A808" s="153"/>
      <c r="B808" s="153"/>
      <c r="C808" s="141"/>
      <c r="D808" s="141"/>
      <c r="E808" s="141"/>
      <c r="F808" s="155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</row>
    <row r="809" spans="1:20">
      <c r="A809" s="153"/>
      <c r="B809" s="153"/>
      <c r="C809" s="141"/>
      <c r="D809" s="141"/>
      <c r="E809" s="141"/>
      <c r="F809" s="155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</row>
    <row r="810" spans="1:20">
      <c r="A810" s="153"/>
      <c r="B810" s="153"/>
      <c r="C810" s="141"/>
      <c r="D810" s="141"/>
      <c r="E810" s="141"/>
      <c r="F810" s="155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</row>
    <row r="811" spans="1:20">
      <c r="A811" s="153"/>
      <c r="B811" s="153"/>
      <c r="C811" s="141"/>
      <c r="D811" s="141"/>
      <c r="E811" s="141"/>
      <c r="F811" s="155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</row>
    <row r="812" spans="1:20">
      <c r="A812" s="153"/>
      <c r="B812" s="153"/>
      <c r="C812" s="141"/>
      <c r="D812" s="141"/>
      <c r="E812" s="141"/>
      <c r="F812" s="155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</row>
    <row r="813" spans="1:20">
      <c r="A813" s="153"/>
      <c r="B813" s="153"/>
      <c r="C813" s="141"/>
      <c r="D813" s="141"/>
      <c r="E813" s="141"/>
      <c r="F813" s="155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</row>
    <row r="814" spans="1:20">
      <c r="A814" s="153"/>
      <c r="B814" s="153"/>
      <c r="C814" s="141"/>
      <c r="D814" s="141"/>
      <c r="E814" s="141"/>
      <c r="F814" s="155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</row>
    <row r="815" spans="1:20">
      <c r="A815" s="153"/>
      <c r="B815" s="153"/>
      <c r="C815" s="141"/>
      <c r="D815" s="141"/>
      <c r="E815" s="141"/>
      <c r="F815" s="155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</row>
    <row r="816" spans="1:20">
      <c r="A816" s="153"/>
      <c r="B816" s="153"/>
      <c r="C816" s="141"/>
      <c r="D816" s="141"/>
      <c r="E816" s="141"/>
      <c r="F816" s="155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</row>
    <row r="817" spans="1:20">
      <c r="A817" s="153"/>
      <c r="B817" s="153"/>
      <c r="C817" s="141"/>
      <c r="D817" s="141"/>
      <c r="E817" s="141"/>
      <c r="F817" s="155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</row>
    <row r="818" spans="1:20">
      <c r="A818" s="153"/>
      <c r="B818" s="153"/>
      <c r="C818" s="141"/>
      <c r="D818" s="141"/>
      <c r="E818" s="141"/>
      <c r="F818" s="155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</row>
    <row r="819" spans="1:20">
      <c r="A819" s="153"/>
      <c r="B819" s="153"/>
      <c r="C819" s="141"/>
      <c r="D819" s="141"/>
      <c r="E819" s="141"/>
      <c r="F819" s="155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</row>
    <row r="820" spans="1:20">
      <c r="A820" s="153"/>
      <c r="B820" s="153"/>
      <c r="C820" s="141"/>
      <c r="D820" s="141"/>
      <c r="E820" s="141"/>
      <c r="F820" s="155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</row>
    <row r="821" spans="1:20">
      <c r="A821" s="153"/>
      <c r="B821" s="153"/>
      <c r="C821" s="141"/>
      <c r="D821" s="141"/>
      <c r="E821" s="141"/>
      <c r="F821" s="155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</row>
    <row r="822" spans="1:20">
      <c r="A822" s="153"/>
      <c r="B822" s="153"/>
      <c r="C822" s="141"/>
      <c r="D822" s="141"/>
      <c r="E822" s="141"/>
      <c r="F822" s="155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</row>
    <row r="823" spans="1:20">
      <c r="A823" s="153"/>
      <c r="B823" s="153"/>
      <c r="C823" s="141"/>
      <c r="D823" s="141"/>
      <c r="E823" s="141"/>
      <c r="F823" s="155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</row>
    <row r="824" spans="1:20">
      <c r="A824" s="153"/>
      <c r="B824" s="153"/>
      <c r="C824" s="141"/>
      <c r="D824" s="141"/>
      <c r="E824" s="141"/>
      <c r="F824" s="155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</row>
    <row r="825" spans="1:20">
      <c r="A825" s="153"/>
      <c r="B825" s="153"/>
      <c r="C825" s="141"/>
      <c r="D825" s="141"/>
      <c r="E825" s="141"/>
      <c r="F825" s="155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</row>
    <row r="826" spans="1:20">
      <c r="A826" s="153"/>
      <c r="B826" s="153"/>
      <c r="C826" s="141"/>
      <c r="D826" s="141"/>
      <c r="E826" s="141"/>
      <c r="F826" s="155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</row>
    <row r="827" spans="1:20">
      <c r="A827" s="153"/>
      <c r="B827" s="153"/>
      <c r="C827" s="141"/>
      <c r="D827" s="141"/>
      <c r="E827" s="141"/>
      <c r="F827" s="155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</row>
    <row r="828" spans="1:20">
      <c r="A828" s="153"/>
      <c r="B828" s="153"/>
      <c r="C828" s="141"/>
      <c r="D828" s="141"/>
      <c r="E828" s="141"/>
      <c r="F828" s="155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</row>
    <row r="829" spans="1:20">
      <c r="A829" s="153"/>
      <c r="B829" s="153"/>
      <c r="C829" s="141"/>
      <c r="D829" s="141"/>
      <c r="E829" s="141"/>
      <c r="F829" s="155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</row>
    <row r="830" spans="1:20">
      <c r="A830" s="153"/>
      <c r="B830" s="153"/>
      <c r="C830" s="141"/>
      <c r="D830" s="141"/>
      <c r="E830" s="141"/>
      <c r="F830" s="155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</row>
    <row r="831" spans="1:20">
      <c r="A831" s="153"/>
      <c r="B831" s="153"/>
      <c r="C831" s="141"/>
      <c r="D831" s="141"/>
      <c r="E831" s="141"/>
      <c r="F831" s="155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</row>
    <row r="832" spans="1:20">
      <c r="A832" s="153"/>
      <c r="B832" s="153"/>
      <c r="C832" s="141"/>
      <c r="D832" s="141"/>
      <c r="E832" s="141"/>
      <c r="F832" s="155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</row>
    <row r="833" spans="1:20">
      <c r="A833" s="153"/>
      <c r="B833" s="153"/>
      <c r="C833" s="141"/>
      <c r="D833" s="141"/>
      <c r="E833" s="141"/>
      <c r="F833" s="155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</row>
    <row r="834" spans="1:20">
      <c r="A834" s="153"/>
      <c r="B834" s="153"/>
      <c r="C834" s="141"/>
      <c r="D834" s="141"/>
      <c r="E834" s="141"/>
      <c r="F834" s="155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</row>
    <row r="835" spans="1:20">
      <c r="A835" s="153"/>
      <c r="B835" s="153"/>
      <c r="C835" s="141"/>
      <c r="D835" s="141"/>
      <c r="E835" s="141"/>
      <c r="F835" s="155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</row>
    <row r="836" spans="1:20">
      <c r="A836" s="153"/>
      <c r="B836" s="153"/>
      <c r="C836" s="141"/>
      <c r="D836" s="141"/>
      <c r="E836" s="141"/>
      <c r="F836" s="155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</row>
    <row r="837" spans="1:20">
      <c r="A837" s="153"/>
      <c r="B837" s="153"/>
      <c r="C837" s="141"/>
      <c r="D837" s="141"/>
      <c r="E837" s="141"/>
      <c r="F837" s="155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</row>
    <row r="838" spans="1:20">
      <c r="A838" s="153"/>
      <c r="B838" s="153"/>
      <c r="C838" s="141"/>
      <c r="D838" s="141"/>
      <c r="E838" s="141"/>
      <c r="F838" s="155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</row>
    <row r="839" spans="1:20">
      <c r="A839" s="153"/>
      <c r="B839" s="153"/>
      <c r="C839" s="141"/>
      <c r="D839" s="141"/>
      <c r="E839" s="141"/>
      <c r="F839" s="155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</row>
  </sheetData>
  <sheetProtection selectLockedCells="1"/>
  <mergeCells count="22">
    <mergeCell ref="B28:E28"/>
    <mergeCell ref="K4:M4"/>
    <mergeCell ref="O19:R20"/>
    <mergeCell ref="N17:S17"/>
    <mergeCell ref="I5:L5"/>
    <mergeCell ref="Q8:S8"/>
    <mergeCell ref="B34:E34"/>
    <mergeCell ref="B37:E38"/>
    <mergeCell ref="O21:R21"/>
    <mergeCell ref="O18:R18"/>
    <mergeCell ref="G1:J2"/>
    <mergeCell ref="K1:N2"/>
    <mergeCell ref="K12:L13"/>
    <mergeCell ref="N8:P8"/>
    <mergeCell ref="N7:S7"/>
    <mergeCell ref="I8:L9"/>
    <mergeCell ref="I12:J13"/>
    <mergeCell ref="I11:L11"/>
    <mergeCell ref="I7:L7"/>
    <mergeCell ref="H3:J3"/>
    <mergeCell ref="K3:M3"/>
    <mergeCell ref="P22:Q22"/>
  </mergeCells>
  <conditionalFormatting sqref="Q9">
    <cfRule type="cellIs" dxfId="12" priority="28" operator="equal">
      <formula>$R$9</formula>
    </cfRule>
  </conditionalFormatting>
  <conditionalFormatting sqref="K12">
    <cfRule type="cellIs" dxfId="11" priority="21" operator="greaterThanOrEqual">
      <formula>0.8</formula>
    </cfRule>
  </conditionalFormatting>
  <conditionalFormatting sqref="H5">
    <cfRule type="cellIs" dxfId="10" priority="20" operator="greaterThanOrEqual">
      <formula>0.8</formula>
    </cfRule>
  </conditionalFormatting>
  <conditionalFormatting sqref="M5">
    <cfRule type="cellIs" dxfId="9" priority="19" operator="greaterThanOrEqual">
      <formula>0.8</formula>
    </cfRule>
  </conditionalFormatting>
  <conditionalFormatting sqref="K12:L13 H5 M5">
    <cfRule type="containsText" dxfId="8" priority="15" operator="containsText" text="п">
      <formula>NOT(ISERROR(SEARCH("п",H5)))</formula>
    </cfRule>
  </conditionalFormatting>
  <conditionalFormatting sqref="K12:L13">
    <cfRule type="cellIs" dxfId="7" priority="7" operator="equal">
      <formula>0.78</formula>
    </cfRule>
  </conditionalFormatting>
  <conditionalFormatting sqref="B37:E38">
    <cfRule type="containsText" dxfId="6" priority="6" operator="containsText" text="Забьют 1-2 гола">
      <formula>NOT(ISERROR(SEARCH("Забьют 1-2 гола",B37)))</formula>
    </cfRule>
  </conditionalFormatting>
  <conditionalFormatting sqref="H5 M5">
    <cfRule type="cellIs" dxfId="5" priority="5" operator="greaterThan">
      <formula>0.5</formula>
    </cfRule>
  </conditionalFormatting>
  <conditionalFormatting sqref="K3:M3">
    <cfRule type="cellIs" dxfId="4" priority="4" operator="equal">
      <formula>"Забьет в матче"</formula>
    </cfRule>
  </conditionalFormatting>
  <conditionalFormatting sqref="H3:J3">
    <cfRule type="cellIs" dxfId="3" priority="3" operator="equal">
      <formula>"Забьет в матче"</formula>
    </cfRule>
  </conditionalFormatting>
  <conditionalFormatting sqref="O19:R20">
    <cfRule type="cellIs" dxfId="2" priority="2" operator="equal">
      <formula>$O$19</formula>
    </cfRule>
  </conditionalFormatting>
  <pageMargins left="0.7" right="0.7" top="0.75" bottom="0.75" header="0.3" footer="0.3"/>
  <pageSetup paperSize="9" orientation="portrait" r:id="rId1"/>
  <picture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CAFFFFFC-0DE4-454E-A924-CC1B1C37240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1"/>
              <x14:cfIcon iconSet="3Symbols2" iconId="2"/>
            </x14:iconSet>
          </x14:cfRule>
          <xm:sqref>O9:O16 R9:R16</xm:sqref>
        </x14:conditionalFormatting>
        <x14:conditionalFormatting xmlns:xm="http://schemas.microsoft.com/office/excel/2006/main">
          <x14:cfRule type="containsText" priority="11" operator="containsText" id="{C19EEDE0-4EA9-4F00-910D-8F281EAB7CB1}">
            <xm:f>NOT(ISERROR(SEARCH($K$1,C14)))</xm:f>
            <xm:f>$K$1</xm:f>
            <x14:dxf>
              <font>
                <b/>
                <i/>
                <color rgb="FF00B0F0"/>
              </font>
            </x14:dxf>
          </x14:cfRule>
          <xm:sqref>C14:D23</xm:sqref>
        </x14:conditionalFormatting>
        <x14:conditionalFormatting xmlns:xm="http://schemas.microsoft.com/office/excel/2006/main">
          <x14:cfRule type="containsText" priority="10" operator="containsText" id="{48B15383-753C-4A0D-A970-61CE6CF93630}">
            <xm:f>NOT(ISERROR(SEARCH($G$1,C2)))</xm:f>
            <xm:f>$G$1</xm:f>
            <x14:dxf>
              <font>
                <b/>
                <i/>
                <color rgb="FF00B0F0"/>
              </font>
            </x14:dxf>
          </x14:cfRule>
          <xm:sqref>C2:D11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FJ553"/>
  <sheetViews>
    <sheetView showGridLines="0" topLeftCell="DE60" zoomScaleNormal="100" workbookViewId="0">
      <selection activeCell="BC57" sqref="BC57"/>
    </sheetView>
  </sheetViews>
  <sheetFormatPr defaultColWidth="9.140625" defaultRowHeight="15"/>
  <cols>
    <col min="1" max="4" width="9.140625" style="22"/>
    <col min="5" max="5" width="15.85546875" style="22" customWidth="1"/>
    <col min="6" max="6" width="17.28515625" style="22" customWidth="1"/>
    <col min="7" max="7" width="9.140625" style="22"/>
    <col min="8" max="14" width="9.28515625" style="22" bestFit="1" customWidth="1"/>
    <col min="15" max="15" width="9.140625" style="22"/>
    <col min="16" max="16" width="12.42578125" style="22" bestFit="1" customWidth="1"/>
    <col min="17" max="17" width="9.140625" style="22"/>
    <col min="18" max="19" width="9.28515625" style="22" bestFit="1" customWidth="1"/>
    <col min="20" max="21" width="9.140625" style="22"/>
    <col min="22" max="36" width="9.28515625" style="22" bestFit="1" customWidth="1"/>
    <col min="37" max="38" width="9.140625" style="22"/>
    <col min="39" max="39" width="10.7109375" style="22" bestFit="1" customWidth="1"/>
    <col min="40" max="43" width="9.140625" style="22"/>
    <col min="44" max="47" width="9.28515625" style="22" bestFit="1" customWidth="1"/>
    <col min="48" max="49" width="9.140625" style="22"/>
    <col min="50" max="83" width="9.28515625" style="22" bestFit="1" customWidth="1"/>
    <col min="84" max="84" width="9.140625" style="22"/>
    <col min="85" max="85" width="9.28515625" style="22" bestFit="1" customWidth="1"/>
    <col min="86" max="86" width="9.140625" style="22"/>
    <col min="87" max="88" width="9.28515625" style="22" bestFit="1" customWidth="1"/>
    <col min="89" max="90" width="9.140625" style="22"/>
    <col min="91" max="95" width="9.28515625" style="22" bestFit="1" customWidth="1"/>
    <col min="96" max="100" width="9.140625" style="22"/>
    <col min="101" max="102" width="9.28515625" style="22" bestFit="1" customWidth="1"/>
    <col min="103" max="103" width="9.140625" style="22"/>
    <col min="104" max="106" width="10.7109375" style="22" bestFit="1" customWidth="1"/>
    <col min="107" max="109" width="9.140625" style="22"/>
    <col min="110" max="115" width="9.28515625" style="22" bestFit="1" customWidth="1"/>
    <col min="116" max="118" width="9.140625" style="22"/>
    <col min="119" max="119" width="9.28515625" style="22" bestFit="1" customWidth="1"/>
    <col min="120" max="120" width="9.140625" style="22"/>
    <col min="121" max="131" width="9.28515625" style="22" bestFit="1" customWidth="1"/>
    <col min="132" max="16384" width="9.140625" style="22"/>
  </cols>
  <sheetData>
    <row r="2" spans="2:13" ht="92.25">
      <c r="B2" s="20"/>
      <c r="C2" s="20"/>
      <c r="D2" s="20"/>
      <c r="E2" s="20"/>
      <c r="F2" s="21"/>
      <c r="G2" s="21"/>
      <c r="H2" s="21"/>
      <c r="I2" s="21"/>
      <c r="J2" s="21"/>
      <c r="K2" s="21"/>
      <c r="L2" s="21"/>
      <c r="M2" s="21"/>
    </row>
    <row r="3" spans="2:13" ht="92.25">
      <c r="B3" s="23"/>
      <c r="D3" s="23"/>
      <c r="E3" s="23"/>
    </row>
    <row r="28" spans="1:166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</row>
    <row r="29" spans="1:166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</row>
    <row r="30" spans="1:166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</row>
    <row r="31" spans="1:166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</row>
    <row r="32" spans="1:166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</row>
    <row r="33" spans="1:166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</row>
    <row r="34" spans="1:166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</row>
    <row r="35" spans="1:166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</row>
    <row r="36" spans="1:166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/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</row>
    <row r="37" spans="1:166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/>
      <c r="EV37" s="24"/>
      <c r="EW37" s="24"/>
      <c r="EX37" s="24"/>
      <c r="EY37" s="24"/>
      <c r="EZ37" s="24"/>
      <c r="FA37" s="24"/>
      <c r="FB37" s="24"/>
      <c r="FC37" s="24"/>
      <c r="FD37" s="24"/>
      <c r="FE37" s="24"/>
      <c r="FF37" s="24"/>
      <c r="FG37" s="24"/>
      <c r="FH37" s="24"/>
      <c r="FI37" s="24"/>
      <c r="FJ37" s="24"/>
    </row>
    <row r="38" spans="1:166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  <c r="FC38" s="24"/>
      <c r="FD38" s="24"/>
      <c r="FE38" s="24"/>
      <c r="FF38" s="24"/>
      <c r="FG38" s="24"/>
      <c r="FH38" s="24"/>
      <c r="FI38" s="24"/>
      <c r="FJ38" s="24"/>
    </row>
    <row r="39" spans="1:166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</row>
    <row r="40" spans="1:166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  <c r="FC40" s="24"/>
      <c r="FD40" s="24"/>
      <c r="FE40" s="24"/>
      <c r="FF40" s="24"/>
      <c r="FG40" s="24"/>
      <c r="FH40" s="24"/>
      <c r="FI40" s="24"/>
      <c r="FJ40" s="24"/>
    </row>
    <row r="41" spans="1:166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/>
      <c r="EV41" s="24"/>
      <c r="EW41" s="24"/>
      <c r="EX41" s="24"/>
      <c r="EY41" s="24"/>
      <c r="EZ41" s="24"/>
      <c r="FA41" s="24"/>
      <c r="FB41" s="24"/>
      <c r="FC41" s="24"/>
      <c r="FD41" s="24"/>
      <c r="FE41" s="24"/>
      <c r="FF41" s="24"/>
      <c r="FG41" s="24"/>
      <c r="FH41" s="24"/>
      <c r="FI41" s="24"/>
      <c r="FJ41" s="24"/>
    </row>
    <row r="42" spans="1:166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  <c r="FC42" s="24"/>
      <c r="FD42" s="24"/>
      <c r="FE42" s="24"/>
      <c r="FF42" s="24"/>
      <c r="FG42" s="24"/>
      <c r="FH42" s="24"/>
      <c r="FI42" s="24"/>
      <c r="FJ42" s="24"/>
    </row>
    <row r="43" spans="1:166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  <c r="ES43" s="24"/>
      <c r="ET43" s="24"/>
      <c r="EU43" s="24"/>
      <c r="EV43" s="24"/>
      <c r="EW43" s="24"/>
      <c r="EX43" s="24"/>
      <c r="EY43" s="24"/>
      <c r="EZ43" s="24"/>
      <c r="FA43" s="24"/>
      <c r="FB43" s="24"/>
      <c r="FC43" s="24"/>
      <c r="FD43" s="24"/>
      <c r="FE43" s="24"/>
      <c r="FF43" s="24"/>
      <c r="FG43" s="24"/>
      <c r="FH43" s="24"/>
      <c r="FI43" s="24"/>
      <c r="FJ43" s="24"/>
    </row>
    <row r="44" spans="1:166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  <c r="FC44" s="24"/>
      <c r="FD44" s="24"/>
      <c r="FE44" s="24"/>
      <c r="FF44" s="24"/>
      <c r="FG44" s="24"/>
      <c r="FH44" s="24"/>
      <c r="FI44" s="24"/>
      <c r="FJ44" s="24"/>
    </row>
    <row r="45" spans="1:166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24"/>
      <c r="EV45" s="24"/>
      <c r="EW45" s="24"/>
      <c r="EX45" s="24"/>
      <c r="EY45" s="24"/>
      <c r="EZ45" s="24"/>
      <c r="FA45" s="24"/>
      <c r="FB45" s="24"/>
      <c r="FC45" s="24"/>
      <c r="FD45" s="24"/>
      <c r="FE45" s="24"/>
      <c r="FF45" s="24"/>
      <c r="FG45" s="24"/>
      <c r="FH45" s="24"/>
      <c r="FI45" s="24"/>
      <c r="FJ45" s="24"/>
    </row>
    <row r="46" spans="1:166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/>
      <c r="EV46" s="24"/>
      <c r="EW46" s="24"/>
      <c r="EX46" s="24"/>
      <c r="EY46" s="24"/>
      <c r="EZ46" s="24"/>
      <c r="FA46" s="24"/>
      <c r="FB46" s="24"/>
      <c r="FC46" s="24"/>
      <c r="FD46" s="24"/>
      <c r="FE46" s="24"/>
      <c r="FF46" s="24"/>
      <c r="FG46" s="24"/>
      <c r="FH46" s="24"/>
      <c r="FI46" s="24"/>
      <c r="FJ46" s="24"/>
    </row>
    <row r="47" spans="1:166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24"/>
      <c r="EV47" s="24"/>
      <c r="EW47" s="24"/>
      <c r="EX47" s="24"/>
      <c r="EY47" s="24"/>
      <c r="EZ47" s="24"/>
      <c r="FA47" s="24"/>
      <c r="FB47" s="24"/>
      <c r="FC47" s="24"/>
      <c r="FD47" s="24"/>
      <c r="FE47" s="24"/>
      <c r="FF47" s="24"/>
      <c r="FG47" s="24"/>
      <c r="FH47" s="24"/>
      <c r="FI47" s="24"/>
      <c r="FJ47" s="24"/>
    </row>
    <row r="48" spans="1:166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/>
      <c r="EV48" s="24"/>
      <c r="EW48" s="24"/>
      <c r="EX48" s="24"/>
      <c r="EY48" s="24"/>
      <c r="EZ48" s="24"/>
      <c r="FA48" s="24"/>
      <c r="FB48" s="24"/>
      <c r="FC48" s="24"/>
      <c r="FD48" s="24"/>
      <c r="FE48" s="24"/>
      <c r="FF48" s="24"/>
      <c r="FG48" s="24"/>
      <c r="FH48" s="24"/>
      <c r="FI48" s="24"/>
      <c r="FJ48" s="24"/>
    </row>
    <row r="49" spans="1:166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5">
        <f t="shared" ref="DY49:DY56" si="0">BK52</f>
        <v>0.32631768651570398</v>
      </c>
      <c r="DZ49" s="24"/>
      <c r="EA49" s="25">
        <f t="shared" ref="EA49:EA56" si="1">BM52</f>
        <v>7.4890273974438815E-2</v>
      </c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/>
      <c r="EV49" s="24"/>
      <c r="EW49" s="24"/>
      <c r="EX49" s="24"/>
      <c r="EY49" s="24"/>
      <c r="EZ49" s="24"/>
      <c r="FA49" s="24"/>
      <c r="FB49" s="24"/>
      <c r="FC49" s="24"/>
      <c r="FD49" s="24"/>
      <c r="FE49" s="24"/>
      <c r="FF49" s="24"/>
      <c r="FG49" s="24"/>
      <c r="FH49" s="24"/>
      <c r="FI49" s="24"/>
      <c r="FJ49" s="24"/>
    </row>
    <row r="50" spans="1:166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 t="s">
        <v>4</v>
      </c>
      <c r="Q50" s="24" t="s">
        <v>5</v>
      </c>
      <c r="R50" s="24" t="s">
        <v>6</v>
      </c>
      <c r="S50" s="24" t="s">
        <v>7</v>
      </c>
      <c r="T50" s="24" t="s">
        <v>8</v>
      </c>
      <c r="U50" s="24" t="s">
        <v>9</v>
      </c>
      <c r="V50" s="24" t="s">
        <v>10</v>
      </c>
      <c r="W50" s="24" t="s">
        <v>11</v>
      </c>
      <c r="X50" s="24" t="s">
        <v>12</v>
      </c>
      <c r="Y50" s="24" t="s">
        <v>13</v>
      </c>
      <c r="Z50" s="24" t="s">
        <v>14</v>
      </c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0" t="s">
        <v>15</v>
      </c>
      <c r="AQ50" s="240"/>
      <c r="AR50" s="240"/>
      <c r="AS50" s="240"/>
      <c r="AT50" s="240"/>
      <c r="AU50" s="240"/>
      <c r="AV50" s="240"/>
      <c r="AW50" s="240"/>
      <c r="AX50" s="240"/>
      <c r="AY50" s="24"/>
      <c r="AZ50" s="24"/>
      <c r="BA50" s="24"/>
      <c r="BB50" s="24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41" t="s">
        <v>15</v>
      </c>
      <c r="BQ50" s="241"/>
      <c r="BR50" s="241"/>
      <c r="BS50" s="241"/>
      <c r="BT50" s="241"/>
      <c r="BU50" s="241"/>
      <c r="BV50" s="241"/>
      <c r="BW50" s="241"/>
      <c r="BX50" s="241"/>
      <c r="BY50" s="241"/>
      <c r="BZ50" s="241"/>
      <c r="CA50" s="241"/>
      <c r="CB50" s="241"/>
      <c r="CC50" s="241"/>
      <c r="CD50" s="241"/>
      <c r="CE50" s="241"/>
      <c r="CF50" s="241"/>
      <c r="CG50" s="241"/>
      <c r="CH50" s="241"/>
      <c r="CI50" s="241"/>
      <c r="CJ50" s="241"/>
      <c r="CK50" s="241"/>
      <c r="CL50" s="241"/>
      <c r="CM50" s="241"/>
      <c r="CN50" s="241"/>
      <c r="CO50" s="241"/>
      <c r="CP50" s="241"/>
      <c r="CQ50" s="241"/>
      <c r="CR50" s="24"/>
      <c r="CS50" s="24"/>
      <c r="CT50" s="24"/>
      <c r="CU50" s="24"/>
      <c r="CV50" s="27"/>
      <c r="CW50" s="242" t="s">
        <v>16</v>
      </c>
      <c r="CX50" s="242"/>
      <c r="CY50" s="242"/>
      <c r="CZ50" s="242"/>
      <c r="DA50" s="242"/>
      <c r="DB50" s="242"/>
      <c r="DC50" s="242"/>
      <c r="DD50" s="27"/>
      <c r="DE50" s="27"/>
      <c r="DF50" s="27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5">
        <f t="shared" si="0"/>
        <v>0.36547580889758841</v>
      </c>
      <c r="DZ50" s="24"/>
      <c r="EA50" s="25">
        <f t="shared" si="1"/>
        <v>0.19411559014174543</v>
      </c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/>
      <c r="EV50" s="24"/>
      <c r="EW50" s="24"/>
      <c r="EX50" s="24"/>
      <c r="EY50" s="24"/>
      <c r="EZ50" s="24"/>
      <c r="FA50" s="24"/>
      <c r="FB50" s="24"/>
      <c r="FC50" s="24"/>
      <c r="FD50" s="24"/>
      <c r="FE50" s="24"/>
      <c r="FF50" s="24"/>
      <c r="FG50" s="24"/>
      <c r="FH50" s="24"/>
      <c r="FI50" s="24"/>
      <c r="FJ50" s="24"/>
    </row>
    <row r="51" spans="1:166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116">
        <f>VALUE(REPLACE(DATA!G28,FIND(".",DATA!G28,1),1,","))</f>
        <v>3.5</v>
      </c>
      <c r="M51" s="24"/>
      <c r="N51" s="24">
        <f>IF(SUM(R51:S51)&gt;L51,1,0)</f>
        <v>0</v>
      </c>
      <c r="O51" s="24"/>
      <c r="P51" s="24" t="str">
        <f>DATA!C2</f>
        <v>Каманда 1</v>
      </c>
      <c r="Q51" s="24">
        <f>DATA!D2</f>
        <v>1</v>
      </c>
      <c r="R51" s="24">
        <f>VALUE(LEFT(DATA!E2,FIND(":",DATA!E2,1)-1))</f>
        <v>1</v>
      </c>
      <c r="S51" s="24">
        <f>VALUE(LEFT(RIGHT(DATA!E2,LEN(DATA!E2)-FIND(":",DATA!E2,1)),4))</f>
        <v>1</v>
      </c>
      <c r="T51" s="24" t="str">
        <f>IF(P51=DATA!$G$1,"Дома","В гостях")</f>
        <v>Дома</v>
      </c>
      <c r="U51" s="24" t="str">
        <f t="shared" ref="U51:U60" si="2">IF(T51="Дома",IF(R51&gt;S51,"В",IF(R51=S51,"Н","П")),IF(R51&lt;S51,"В",IF(R51=S51,"Н","П")))</f>
        <v>Н</v>
      </c>
      <c r="V51" s="24">
        <f t="shared" ref="V51:V60" si="3">IFERROR(IF(T51="Дома",R51,S51),"")</f>
        <v>1</v>
      </c>
      <c r="W51" s="24">
        <f t="shared" ref="W51:W60" si="4">IFERROR(IF(T51="Дома",S51,R51),"")</f>
        <v>1</v>
      </c>
      <c r="X51" s="24">
        <f t="shared" ref="X51:X60" si="5">IF(U51="В",1,0)</f>
        <v>0</v>
      </c>
      <c r="Y51" s="24">
        <f t="shared" ref="Y51:Y60" si="6">IF(U51="П",1,0)</f>
        <v>0</v>
      </c>
      <c r="Z51" s="24" t="str">
        <f t="shared" ref="Z51:Z61" si="7">IF(SUM(R51:S51)&gt;2.5,1,"")</f>
        <v/>
      </c>
      <c r="AA51" s="24">
        <f t="shared" ref="AA51:AB56" si="8">IF(R51&gt;0,1,0)</f>
        <v>1</v>
      </c>
      <c r="AB51" s="24">
        <f t="shared" si="8"/>
        <v>1</v>
      </c>
      <c r="AC51" s="24">
        <f t="shared" ref="AC51:AC56" si="9">IF(AA51+AB51=2,1,IF(AA51+AB51=1,0))</f>
        <v>1</v>
      </c>
      <c r="AD51" s="24">
        <f t="shared" ref="AD51:AD56" si="10">IF(T51="Дома",AC51,0)</f>
        <v>1</v>
      </c>
      <c r="AE51" s="24">
        <f t="shared" ref="AE51:AF56" si="11">IF(V51&gt;2,0.5,0)</f>
        <v>0</v>
      </c>
      <c r="AF51" s="24">
        <f t="shared" si="11"/>
        <v>0</v>
      </c>
      <c r="AG51" s="24">
        <f t="shared" ref="AG51:AG56" si="12">IF(R51+S51=0,-2,0)</f>
        <v>0</v>
      </c>
      <c r="AH51" s="29">
        <f>IF(SUM(V51:W53)&gt;7.5,1,0)</f>
        <v>1</v>
      </c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30"/>
      <c r="BB51" s="30"/>
      <c r="BC51" s="243">
        <v>1</v>
      </c>
      <c r="BD51" s="243"/>
      <c r="BE51" s="243" t="s">
        <v>17</v>
      </c>
      <c r="BF51" s="243"/>
      <c r="BG51" s="243">
        <v>2</v>
      </c>
      <c r="BH51" s="243"/>
      <c r="BI51" s="26"/>
      <c r="BJ51" s="244" t="str">
        <f>AP52</f>
        <v>Каманда 1</v>
      </c>
      <c r="BK51" s="244"/>
      <c r="BL51" s="244" t="str">
        <f>AP53</f>
        <v>Команда 2</v>
      </c>
      <c r="BM51" s="244"/>
      <c r="BN51" s="26"/>
      <c r="BO51" s="26"/>
      <c r="BP51" s="251" t="s">
        <v>18</v>
      </c>
      <c r="BQ51" s="251"/>
      <c r="BR51" s="251"/>
      <c r="BS51" s="251" t="s">
        <v>19</v>
      </c>
      <c r="BT51" s="251"/>
      <c r="BU51" s="251"/>
      <c r="BV51" s="251"/>
      <c r="BW51" s="251"/>
      <c r="BX51" s="251"/>
      <c r="BY51" s="251" t="s">
        <v>20</v>
      </c>
      <c r="BZ51" s="251"/>
      <c r="CA51" s="251"/>
      <c r="CB51" s="251"/>
      <c r="CC51" s="251"/>
      <c r="CD51" s="251"/>
      <c r="CE51" s="251" t="s">
        <v>21</v>
      </c>
      <c r="CF51" s="251"/>
      <c r="CG51" s="251"/>
      <c r="CH51" s="251"/>
      <c r="CI51" s="251"/>
      <c r="CJ51" s="251"/>
      <c r="CK51" s="251"/>
      <c r="CL51" s="251"/>
      <c r="CM51" s="243" t="s">
        <v>20</v>
      </c>
      <c r="CN51" s="243"/>
      <c r="CO51" s="243" t="s">
        <v>21</v>
      </c>
      <c r="CP51" s="243"/>
      <c r="CQ51" s="245" t="s">
        <v>22</v>
      </c>
      <c r="CR51" s="24"/>
      <c r="CS51" s="24"/>
      <c r="CT51" s="24"/>
      <c r="CU51" s="24"/>
      <c r="CV51" s="27"/>
      <c r="CW51" s="31"/>
      <c r="CX51" s="31"/>
      <c r="CY51" s="31"/>
      <c r="CZ51" s="31"/>
      <c r="DA51" s="31"/>
      <c r="DB51" s="31"/>
      <c r="DC51" s="31"/>
      <c r="DD51" s="27"/>
      <c r="DE51" s="27"/>
      <c r="DF51" s="27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5">
        <f t="shared" si="0"/>
        <v>0.20466645298264949</v>
      </c>
      <c r="DZ51" s="24"/>
      <c r="EA51" s="25">
        <f t="shared" si="1"/>
        <v>0.25157380482370206</v>
      </c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/>
      <c r="EV51" s="24"/>
      <c r="EW51" s="24"/>
      <c r="EX51" s="24"/>
      <c r="EY51" s="24"/>
      <c r="EZ51" s="24"/>
      <c r="FA51" s="24"/>
      <c r="FB51" s="24"/>
      <c r="FC51" s="24"/>
      <c r="FD51" s="24"/>
      <c r="FE51" s="24"/>
      <c r="FF51" s="24"/>
      <c r="FG51" s="24"/>
      <c r="FH51" s="24"/>
      <c r="FI51" s="24"/>
      <c r="FJ51" s="24"/>
    </row>
    <row r="52" spans="1:166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>
        <f>IF(SUM(R52:S52)&gt;L51,1,0)</f>
        <v>1</v>
      </c>
      <c r="O52" s="24"/>
      <c r="P52" s="24" t="str">
        <f>DATA!C3</f>
        <v>Каманда 1</v>
      </c>
      <c r="Q52" s="24">
        <f>DATA!D3</f>
        <v>2</v>
      </c>
      <c r="R52" s="24">
        <f>VALUE(LEFT(DATA!E3,FIND(":",DATA!E3,1)-1))</f>
        <v>3</v>
      </c>
      <c r="S52" s="24">
        <f>VALUE(LEFT(RIGHT(DATA!E3,LEN(DATA!E3)-FIND(":",DATA!E3,1)),4))</f>
        <v>3</v>
      </c>
      <c r="T52" s="24" t="str">
        <f>IF(P52=DATA!$G$1,"Дома","В гостях")</f>
        <v>Дома</v>
      </c>
      <c r="U52" s="24" t="str">
        <f t="shared" si="2"/>
        <v>Н</v>
      </c>
      <c r="V52" s="24">
        <f t="shared" si="3"/>
        <v>3</v>
      </c>
      <c r="W52" s="24">
        <f t="shared" si="4"/>
        <v>3</v>
      </c>
      <c r="X52" s="24">
        <f t="shared" si="5"/>
        <v>0</v>
      </c>
      <c r="Y52" s="24">
        <f t="shared" si="6"/>
        <v>0</v>
      </c>
      <c r="Z52" s="24">
        <f t="shared" si="7"/>
        <v>1</v>
      </c>
      <c r="AA52" s="24">
        <f t="shared" si="8"/>
        <v>1</v>
      </c>
      <c r="AB52" s="24">
        <f t="shared" si="8"/>
        <v>1</v>
      </c>
      <c r="AC52" s="24">
        <f t="shared" si="9"/>
        <v>1</v>
      </c>
      <c r="AD52" s="24">
        <f t="shared" si="10"/>
        <v>1</v>
      </c>
      <c r="AE52" s="24">
        <f t="shared" si="11"/>
        <v>0.5</v>
      </c>
      <c r="AF52" s="24">
        <f t="shared" si="11"/>
        <v>0.5</v>
      </c>
      <c r="AG52" s="24">
        <f t="shared" si="12"/>
        <v>0</v>
      </c>
      <c r="AH52" s="29" t="str">
        <f>IF(SUM(Z51:Z53)&gt;1.5,"1","0")</f>
        <v>1</v>
      </c>
      <c r="AI52" s="24"/>
      <c r="AJ52" s="24"/>
      <c r="AK52" s="24"/>
      <c r="AL52" s="24"/>
      <c r="AM52" s="24"/>
      <c r="AN52" s="24"/>
      <c r="AO52" s="24" t="s">
        <v>23</v>
      </c>
      <c r="AP52" s="246" t="str">
        <f>DP66</f>
        <v>Каманда 1</v>
      </c>
      <c r="AQ52" s="246"/>
      <c r="AR52" s="247">
        <f>CM53</f>
        <v>2.4</v>
      </c>
      <c r="AS52" s="247"/>
      <c r="AT52" s="247">
        <f>DT66</f>
        <v>2</v>
      </c>
      <c r="AU52" s="247"/>
      <c r="AV52" s="32"/>
      <c r="AW52" s="33" t="s">
        <v>24</v>
      </c>
      <c r="AX52" s="34">
        <f>AS63+AS68+AS73+AS78+AS83+AS88</f>
        <v>0.28351701573887922</v>
      </c>
      <c r="AY52" s="35"/>
      <c r="AZ52" s="24"/>
      <c r="BA52" s="30"/>
      <c r="BB52" s="30"/>
      <c r="BC52" s="248">
        <f>AX55</f>
        <v>0.1766248122049292</v>
      </c>
      <c r="BD52" s="243"/>
      <c r="BE52" s="248">
        <f>AX56</f>
        <v>0.31471599798895933</v>
      </c>
      <c r="BF52" s="243"/>
      <c r="BG52" s="248">
        <f>AX57</f>
        <v>0.50865918980611147</v>
      </c>
      <c r="BH52" s="243"/>
      <c r="BI52" s="36"/>
      <c r="BJ52" s="37">
        <v>0</v>
      </c>
      <c r="BK52" s="38">
        <f t="shared" ref="BK52:BK59" si="13">DG59</f>
        <v>0.32631768651570398</v>
      </c>
      <c r="BL52" s="37">
        <v>0</v>
      </c>
      <c r="BM52" s="38">
        <f t="shared" ref="BM52:BM59" si="14">DI59</f>
        <v>7.4890273974438815E-2</v>
      </c>
      <c r="BN52" s="36"/>
      <c r="BO52" s="26"/>
      <c r="BP52" s="251"/>
      <c r="BQ52" s="251"/>
      <c r="BR52" s="251"/>
      <c r="BS52" s="35" t="s">
        <v>25</v>
      </c>
      <c r="BT52" s="35" t="s">
        <v>26</v>
      </c>
      <c r="BU52" s="35" t="s">
        <v>27</v>
      </c>
      <c r="BV52" s="35" t="s">
        <v>28</v>
      </c>
      <c r="BW52" s="35" t="s">
        <v>29</v>
      </c>
      <c r="BX52" s="35" t="s">
        <v>30</v>
      </c>
      <c r="BY52" s="35" t="s">
        <v>25</v>
      </c>
      <c r="BZ52" s="35" t="s">
        <v>26</v>
      </c>
      <c r="CA52" s="35" t="s">
        <v>27</v>
      </c>
      <c r="CB52" s="35" t="s">
        <v>28</v>
      </c>
      <c r="CC52" s="35" t="s">
        <v>29</v>
      </c>
      <c r="CD52" s="35" t="s">
        <v>30</v>
      </c>
      <c r="CE52" s="35" t="s">
        <v>25</v>
      </c>
      <c r="CF52" s="35" t="s">
        <v>26</v>
      </c>
      <c r="CG52" s="35" t="s">
        <v>27</v>
      </c>
      <c r="CH52" s="35" t="s">
        <v>28</v>
      </c>
      <c r="CI52" s="35" t="s">
        <v>29</v>
      </c>
      <c r="CJ52" s="35" t="s">
        <v>30</v>
      </c>
      <c r="CK52" s="35" t="s">
        <v>31</v>
      </c>
      <c r="CL52" s="35" t="s">
        <v>32</v>
      </c>
      <c r="CM52" s="39" t="s">
        <v>258</v>
      </c>
      <c r="CN52" s="39" t="s">
        <v>33</v>
      </c>
      <c r="CO52" s="39" t="s">
        <v>34</v>
      </c>
      <c r="CP52" s="39" t="s">
        <v>33</v>
      </c>
      <c r="CQ52" s="245"/>
      <c r="CR52" s="24"/>
      <c r="CS52" s="24"/>
      <c r="CT52" s="24"/>
      <c r="CU52" s="24"/>
      <c r="CV52" s="27"/>
      <c r="CW52" s="27"/>
      <c r="CX52" s="27"/>
      <c r="CY52" s="27"/>
      <c r="CZ52" s="27"/>
      <c r="DA52" s="27"/>
      <c r="DB52" s="242" t="s">
        <v>35</v>
      </c>
      <c r="DC52" s="249">
        <f>(DB84+DB86+DB118+DB116+DB123+DB124)*100%/(DB59+DB60+DB61+DB63+DB62+DB64+DB65+DB66+DB67+DB68+DB69+DB70+DB71+DB72+DB73+DB74+DB75+DB76+DB77+DB78+DB79+DB80+DB81++DB82+DB83+DB84+DB85+DB86+DB91+DB92+DB93+DB94+DB95+DB96+DB97+DB98+DB99+DB100+DB101+DB102+DB103+DB104+DB105+DB106+DB107+DB108+DB109+DB110+DB111+DB112+DB113+DB114+DB115+DB116+DB117+DB118+DB123+DB124+DB125+DB126+DB127+DB128+DB129)</f>
        <v>0.28490770087193124</v>
      </c>
      <c r="DD52" s="249"/>
      <c r="DE52" s="27"/>
      <c r="DF52" s="27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5">
        <f t="shared" si="0"/>
        <v>7.6408809113522463E-2</v>
      </c>
      <c r="DZ52" s="24"/>
      <c r="EA52" s="25">
        <f t="shared" si="1"/>
        <v>0.21735976736767859</v>
      </c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  <c r="FC52" s="24"/>
      <c r="FD52" s="24"/>
      <c r="FE52" s="24"/>
      <c r="FF52" s="24"/>
      <c r="FG52" s="24"/>
      <c r="FH52" s="24"/>
      <c r="FI52" s="24"/>
      <c r="FJ52" s="24"/>
    </row>
    <row r="53" spans="1:166">
      <c r="A53" s="24"/>
      <c r="B53" s="24"/>
      <c r="C53" s="24"/>
      <c r="D53" s="24"/>
      <c r="E53" s="24"/>
      <c r="F53" s="40"/>
      <c r="G53" s="40"/>
      <c r="H53" s="24"/>
      <c r="I53" s="24"/>
      <c r="J53" s="40"/>
      <c r="K53" s="40"/>
      <c r="L53" s="24"/>
      <c r="M53" s="24"/>
      <c r="N53" s="24">
        <f>IF(SUM(R53:S53)&gt;L51,1,0)</f>
        <v>1</v>
      </c>
      <c r="O53" s="24"/>
      <c r="P53" s="24" t="str">
        <f>DATA!C4</f>
        <v>Каманда 1</v>
      </c>
      <c r="Q53" s="24">
        <f>DATA!D4</f>
        <v>3</v>
      </c>
      <c r="R53" s="24">
        <f>VALUE(LEFT(DATA!E4,FIND(":",DATA!E4,1)-1))</f>
        <v>4</v>
      </c>
      <c r="S53" s="24">
        <f>VALUE(LEFT(RIGHT(DATA!E4,LEN(DATA!E4)-FIND(":",DATA!E4,1)),4))</f>
        <v>3</v>
      </c>
      <c r="T53" s="24" t="str">
        <f>IF(P53=DATA!$G$1,"Дома","В гостях")</f>
        <v>Дома</v>
      </c>
      <c r="U53" s="24" t="str">
        <f t="shared" si="2"/>
        <v>В</v>
      </c>
      <c r="V53" s="24">
        <f t="shared" si="3"/>
        <v>4</v>
      </c>
      <c r="W53" s="24">
        <f t="shared" si="4"/>
        <v>3</v>
      </c>
      <c r="X53" s="24">
        <f t="shared" si="5"/>
        <v>1</v>
      </c>
      <c r="Y53" s="24">
        <f t="shared" si="6"/>
        <v>0</v>
      </c>
      <c r="Z53" s="24">
        <f t="shared" si="7"/>
        <v>1</v>
      </c>
      <c r="AA53" s="24">
        <f t="shared" si="8"/>
        <v>1</v>
      </c>
      <c r="AB53" s="24">
        <f t="shared" si="8"/>
        <v>1</v>
      </c>
      <c r="AC53" s="24">
        <f t="shared" si="9"/>
        <v>1</v>
      </c>
      <c r="AD53" s="24">
        <f t="shared" si="10"/>
        <v>1</v>
      </c>
      <c r="AE53" s="24">
        <f t="shared" si="11"/>
        <v>0.5</v>
      </c>
      <c r="AF53" s="24">
        <f t="shared" si="11"/>
        <v>0.5</v>
      </c>
      <c r="AG53" s="24">
        <f t="shared" si="12"/>
        <v>0</v>
      </c>
      <c r="AH53" s="29"/>
      <c r="AI53" s="24"/>
      <c r="AJ53" s="24"/>
      <c r="AK53" s="24"/>
      <c r="AL53" s="24"/>
      <c r="AM53" s="24"/>
      <c r="AN53" s="24"/>
      <c r="AO53" s="24" t="s">
        <v>36</v>
      </c>
      <c r="AP53" s="246" t="str">
        <f>DP67</f>
        <v>Команда 2</v>
      </c>
      <c r="AQ53" s="246"/>
      <c r="AR53" s="247">
        <f>CP54</f>
        <v>3.2</v>
      </c>
      <c r="AS53" s="247"/>
      <c r="AT53" s="247">
        <f>DT67</f>
        <v>4.8</v>
      </c>
      <c r="AU53" s="247"/>
      <c r="AV53" s="32"/>
      <c r="AW53" s="41" t="s">
        <v>37</v>
      </c>
      <c r="AX53" s="34">
        <f>100%-AX52</f>
        <v>0.71648298426112078</v>
      </c>
      <c r="AY53" s="35"/>
      <c r="AZ53" s="24"/>
      <c r="BA53" s="30"/>
      <c r="BB53" s="30"/>
      <c r="BC53" s="243"/>
      <c r="BD53" s="243"/>
      <c r="BE53" s="243"/>
      <c r="BF53" s="243"/>
      <c r="BG53" s="243"/>
      <c r="BH53" s="243"/>
      <c r="BI53" s="36"/>
      <c r="BJ53" s="37">
        <v>1</v>
      </c>
      <c r="BK53" s="38">
        <f t="shared" si="13"/>
        <v>0.36547580889758841</v>
      </c>
      <c r="BL53" s="37">
        <v>1</v>
      </c>
      <c r="BM53" s="38">
        <f t="shared" si="14"/>
        <v>0.19411559014174543</v>
      </c>
      <c r="BN53" s="36"/>
      <c r="BO53" s="26"/>
      <c r="BP53" s="35">
        <v>1</v>
      </c>
      <c r="BQ53" s="35"/>
      <c r="BR53" s="35" t="str">
        <f>DP66</f>
        <v>Каманда 1</v>
      </c>
      <c r="BS53" s="35"/>
      <c r="BT53" s="35"/>
      <c r="BU53" s="35"/>
      <c r="BV53" s="35"/>
      <c r="BW53" s="35"/>
      <c r="BX53" s="35"/>
      <c r="BY53" s="35">
        <v>5</v>
      </c>
      <c r="BZ53" s="35"/>
      <c r="CA53" s="35"/>
      <c r="CB53" s="35"/>
      <c r="CC53" s="35">
        <f>DR66</f>
        <v>12</v>
      </c>
      <c r="CD53" s="35">
        <f>DS66</f>
        <v>14</v>
      </c>
      <c r="CE53" s="35">
        <v>5</v>
      </c>
      <c r="CF53" s="35"/>
      <c r="CG53" s="35"/>
      <c r="CH53" s="35"/>
      <c r="CI53" s="35"/>
      <c r="CJ53" s="35"/>
      <c r="CK53" s="35"/>
      <c r="CL53" s="35"/>
      <c r="CM53" s="25">
        <f t="shared" ref="CM53:CM72" si="15">CC53/BY53</f>
        <v>2.4</v>
      </c>
      <c r="CN53" s="25">
        <f t="shared" ref="CN53:CN72" si="16">CD53/BY53</f>
        <v>2.8</v>
      </c>
      <c r="CO53" s="25">
        <f t="shared" ref="CO53:CO72" si="17">CI53/CE53</f>
        <v>0</v>
      </c>
      <c r="CP53" s="25">
        <f t="shared" ref="CP53:CP72" si="18">CJ53/CE53</f>
        <v>0</v>
      </c>
      <c r="CQ53" s="25">
        <v>5.8</v>
      </c>
      <c r="CR53" s="24"/>
      <c r="CS53" s="24"/>
      <c r="CT53" s="24"/>
      <c r="CU53" s="24"/>
      <c r="CV53" s="27"/>
      <c r="CW53" s="250" t="str">
        <f>DP66</f>
        <v>Каманда 1</v>
      </c>
      <c r="CX53" s="250"/>
      <c r="CY53" s="250"/>
      <c r="CZ53" s="42">
        <f>((DH53+DI53)/2)*DK53</f>
        <v>1.1199999999999999</v>
      </c>
      <c r="DA53" s="27"/>
      <c r="DB53" s="242"/>
      <c r="DC53" s="249"/>
      <c r="DD53" s="249"/>
      <c r="DE53" s="27"/>
      <c r="DF53" s="27"/>
      <c r="DG53" s="24"/>
      <c r="DH53" s="43">
        <f>AR52</f>
        <v>2.4</v>
      </c>
      <c r="DI53" s="43">
        <f>AR53</f>
        <v>3.2</v>
      </c>
      <c r="DJ53" s="43">
        <f>AT52</f>
        <v>2</v>
      </c>
      <c r="DK53" s="43">
        <f>DJ53/5</f>
        <v>0.4</v>
      </c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5">
        <f t="shared" si="0"/>
        <v>2.1394466551786288E-2</v>
      </c>
      <c r="DZ53" s="24"/>
      <c r="EA53" s="25">
        <f t="shared" si="1"/>
        <v>0.14084912925425572</v>
      </c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/>
      <c r="EV53" s="24"/>
      <c r="EW53" s="24"/>
      <c r="EX53" s="24"/>
      <c r="EY53" s="24"/>
      <c r="EZ53" s="24"/>
      <c r="FA53" s="24"/>
      <c r="FB53" s="24"/>
      <c r="FC53" s="24"/>
      <c r="FD53" s="24"/>
      <c r="FE53" s="24"/>
      <c r="FF53" s="24"/>
      <c r="FG53" s="24"/>
      <c r="FH53" s="24"/>
      <c r="FI53" s="24"/>
      <c r="FJ53" s="24"/>
    </row>
    <row r="54" spans="1:166">
      <c r="A54" s="24"/>
      <c r="B54" s="24"/>
      <c r="C54" s="24"/>
      <c r="D54" s="24"/>
      <c r="E54" s="24"/>
      <c r="F54" s="40"/>
      <c r="G54" s="40"/>
      <c r="H54" s="24"/>
      <c r="I54" s="24"/>
      <c r="J54" s="24"/>
      <c r="K54" s="24"/>
      <c r="L54" s="24"/>
      <c r="M54" s="24"/>
      <c r="N54" s="24">
        <f>IF(SUM(R54:S54)&gt;L51,1,0)</f>
        <v>1</v>
      </c>
      <c r="O54" s="24"/>
      <c r="P54" s="24" t="str">
        <f>DATA!C5</f>
        <v>Каманда 1</v>
      </c>
      <c r="Q54" s="24">
        <f>DATA!D5</f>
        <v>4</v>
      </c>
      <c r="R54" s="24">
        <f>VALUE(LEFT(DATA!E5,FIND(":",DATA!E5,1)-1))</f>
        <v>1</v>
      </c>
      <c r="S54" s="24">
        <f>VALUE(LEFT(RIGHT(DATA!E5,LEN(DATA!E5)-FIND(":",DATA!E5,1)),4))</f>
        <v>4</v>
      </c>
      <c r="T54" s="24" t="str">
        <f>IF(P54=DATA!$G$1,"Дома","В гостях")</f>
        <v>Дома</v>
      </c>
      <c r="U54" s="24" t="str">
        <f t="shared" si="2"/>
        <v>П</v>
      </c>
      <c r="V54" s="24">
        <f t="shared" si="3"/>
        <v>1</v>
      </c>
      <c r="W54" s="24">
        <f t="shared" si="4"/>
        <v>4</v>
      </c>
      <c r="X54" s="24">
        <f t="shared" si="5"/>
        <v>0</v>
      </c>
      <c r="Y54" s="24">
        <f t="shared" si="6"/>
        <v>1</v>
      </c>
      <c r="Z54" s="24">
        <f t="shared" si="7"/>
        <v>1</v>
      </c>
      <c r="AA54" s="24">
        <f t="shared" si="8"/>
        <v>1</v>
      </c>
      <c r="AB54" s="24">
        <f t="shared" si="8"/>
        <v>1</v>
      </c>
      <c r="AC54" s="24">
        <f t="shared" si="9"/>
        <v>1</v>
      </c>
      <c r="AD54" s="24">
        <f t="shared" si="10"/>
        <v>1</v>
      </c>
      <c r="AE54" s="24">
        <f t="shared" si="11"/>
        <v>0</v>
      </c>
      <c r="AF54" s="24">
        <f t="shared" si="11"/>
        <v>0.5</v>
      </c>
      <c r="AG54" s="24">
        <f t="shared" si="12"/>
        <v>0</v>
      </c>
      <c r="AH54" s="24"/>
      <c r="AI54" s="24"/>
      <c r="AJ54" s="24"/>
      <c r="AK54" s="24"/>
      <c r="AL54" s="24"/>
      <c r="AM54" s="24"/>
      <c r="AN54" s="24"/>
      <c r="AO54" s="24" t="s">
        <v>38</v>
      </c>
      <c r="AP54" s="246" t="str">
        <f>AP53</f>
        <v>Команда 2</v>
      </c>
      <c r="AQ54" s="246"/>
      <c r="AR54" s="247">
        <f>CO54</f>
        <v>2.6</v>
      </c>
      <c r="AS54" s="247"/>
      <c r="AT54" s="32"/>
      <c r="AU54" s="32"/>
      <c r="AV54" s="32"/>
      <c r="AW54" s="44"/>
      <c r="AX54" s="45"/>
      <c r="AY54" s="35" t="s">
        <v>39</v>
      </c>
      <c r="AZ54" s="24"/>
      <c r="BA54" s="30"/>
      <c r="BB54" s="30"/>
      <c r="BC54" s="243"/>
      <c r="BD54" s="243"/>
      <c r="BE54" s="243"/>
      <c r="BF54" s="243"/>
      <c r="BG54" s="243"/>
      <c r="BH54" s="243"/>
      <c r="BI54" s="36"/>
      <c r="BJ54" s="37">
        <v>2</v>
      </c>
      <c r="BK54" s="38">
        <f t="shared" si="13"/>
        <v>0.20466645298264949</v>
      </c>
      <c r="BL54" s="37">
        <v>2</v>
      </c>
      <c r="BM54" s="38">
        <f t="shared" si="14"/>
        <v>0.25157380482370206</v>
      </c>
      <c r="BN54" s="36"/>
      <c r="BO54" s="26"/>
      <c r="BP54" s="35">
        <v>2</v>
      </c>
      <c r="BQ54" s="35"/>
      <c r="BR54" s="35" t="str">
        <f>DP67</f>
        <v>Команда 2</v>
      </c>
      <c r="BS54" s="35"/>
      <c r="BT54" s="35"/>
      <c r="BU54" s="35"/>
      <c r="BV54" s="35"/>
      <c r="BW54" s="35"/>
      <c r="BX54" s="35"/>
      <c r="BY54" s="35">
        <v>5</v>
      </c>
      <c r="BZ54" s="35"/>
      <c r="CA54" s="35"/>
      <c r="CB54" s="35"/>
      <c r="CC54" s="35"/>
      <c r="CD54" s="35"/>
      <c r="CE54" s="35">
        <v>5</v>
      </c>
      <c r="CF54" s="35"/>
      <c r="CG54" s="35"/>
      <c r="CH54" s="35"/>
      <c r="CI54" s="35">
        <f>DR67</f>
        <v>13</v>
      </c>
      <c r="CJ54" s="35">
        <f>DS67</f>
        <v>16</v>
      </c>
      <c r="CK54" s="35"/>
      <c r="CL54" s="35"/>
      <c r="CM54" s="25">
        <f t="shared" si="15"/>
        <v>0</v>
      </c>
      <c r="CN54" s="25">
        <f t="shared" si="16"/>
        <v>0</v>
      </c>
      <c r="CO54" s="25">
        <f t="shared" si="17"/>
        <v>2.6</v>
      </c>
      <c r="CP54" s="25">
        <f t="shared" si="18"/>
        <v>3.2</v>
      </c>
      <c r="CQ54" s="25">
        <v>5</v>
      </c>
      <c r="CR54" s="24"/>
      <c r="CS54" s="24"/>
      <c r="CT54" s="24"/>
      <c r="CU54" s="24"/>
      <c r="CV54" s="27"/>
      <c r="CW54" s="250" t="str">
        <f>DP67</f>
        <v>Команда 2</v>
      </c>
      <c r="CX54" s="250"/>
      <c r="CY54" s="250"/>
      <c r="CZ54" s="42">
        <f>((DH54+DI54)/2)*DK54</f>
        <v>2.5920000000000001</v>
      </c>
      <c r="DA54" s="27"/>
      <c r="DB54" s="242" t="s">
        <v>40</v>
      </c>
      <c r="DC54" s="249">
        <f>100%-DC52</f>
        <v>0.71509229912806882</v>
      </c>
      <c r="DD54" s="249"/>
      <c r="DE54" s="27"/>
      <c r="DF54" s="27" t="s">
        <v>41</v>
      </c>
      <c r="DG54" s="24"/>
      <c r="DH54" s="43">
        <f>AR54</f>
        <v>2.6</v>
      </c>
      <c r="DI54" s="43">
        <f>AR55</f>
        <v>2.8</v>
      </c>
      <c r="DJ54" s="43">
        <f>AT53</f>
        <v>4.8</v>
      </c>
      <c r="DK54" s="43">
        <f>DJ54/5</f>
        <v>0.96</v>
      </c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5">
        <f t="shared" si="0"/>
        <v>4.7923605076001276E-3</v>
      </c>
      <c r="DZ54" s="24"/>
      <c r="EA54" s="25">
        <f t="shared" si="1"/>
        <v>7.3016188605406165E-2</v>
      </c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  <c r="FC54" s="24"/>
      <c r="FD54" s="24"/>
      <c r="FE54" s="24"/>
      <c r="FF54" s="24"/>
      <c r="FG54" s="24"/>
      <c r="FH54" s="24"/>
      <c r="FI54" s="24"/>
      <c r="FJ54" s="24"/>
    </row>
    <row r="55" spans="1:166">
      <c r="A55" s="24"/>
      <c r="B55" s="24"/>
      <c r="C55" s="24"/>
      <c r="D55" s="24"/>
      <c r="E55" s="24"/>
      <c r="F55" s="24"/>
      <c r="G55" s="24"/>
      <c r="H55" s="24"/>
      <c r="I55" s="24"/>
      <c r="J55" s="40"/>
      <c r="K55" s="40"/>
      <c r="L55" s="24"/>
      <c r="M55" s="24"/>
      <c r="N55" s="24">
        <f>IF(SUM(R55:S55)&gt;L51,1,0)</f>
        <v>1</v>
      </c>
      <c r="O55" s="24"/>
      <c r="P55" s="24" t="str">
        <f>DATA!C6</f>
        <v>Каманда 1</v>
      </c>
      <c r="Q55" s="24">
        <f>DATA!D6</f>
        <v>5</v>
      </c>
      <c r="R55" s="24">
        <f>VALUE(LEFT(DATA!E6,FIND(":",DATA!E6,1)-1))</f>
        <v>3</v>
      </c>
      <c r="S55" s="24">
        <f>VALUE(LEFT(RIGHT(DATA!E6,LEN(DATA!E6)-FIND(":",DATA!E6,1)),4))</f>
        <v>3</v>
      </c>
      <c r="T55" s="24" t="str">
        <f>IF(P55=DATA!$G$1,"Дома","В гостях")</f>
        <v>Дома</v>
      </c>
      <c r="U55" s="24" t="str">
        <f t="shared" si="2"/>
        <v>Н</v>
      </c>
      <c r="V55" s="24">
        <f t="shared" si="3"/>
        <v>3</v>
      </c>
      <c r="W55" s="24">
        <f t="shared" si="4"/>
        <v>3</v>
      </c>
      <c r="X55" s="24">
        <f t="shared" si="5"/>
        <v>0</v>
      </c>
      <c r="Y55" s="24">
        <f t="shared" si="6"/>
        <v>0</v>
      </c>
      <c r="Z55" s="24">
        <f t="shared" si="7"/>
        <v>1</v>
      </c>
      <c r="AA55" s="24">
        <f t="shared" si="8"/>
        <v>1</v>
      </c>
      <c r="AB55" s="24">
        <f t="shared" si="8"/>
        <v>1</v>
      </c>
      <c r="AC55" s="24">
        <f t="shared" si="9"/>
        <v>1</v>
      </c>
      <c r="AD55" s="24">
        <f t="shared" si="10"/>
        <v>1</v>
      </c>
      <c r="AE55" s="24">
        <f t="shared" si="11"/>
        <v>0.5</v>
      </c>
      <c r="AF55" s="24">
        <f t="shared" si="11"/>
        <v>0.5</v>
      </c>
      <c r="AG55" s="24">
        <f t="shared" si="12"/>
        <v>0</v>
      </c>
      <c r="AH55" s="24"/>
      <c r="AI55" s="24"/>
      <c r="AJ55" s="24"/>
      <c r="AK55" s="24"/>
      <c r="AL55" s="24"/>
      <c r="AM55" s="24"/>
      <c r="AN55" s="24"/>
      <c r="AO55" s="24" t="s">
        <v>42</v>
      </c>
      <c r="AP55" s="246" t="str">
        <f>AP52</f>
        <v>Каманда 1</v>
      </c>
      <c r="AQ55" s="246"/>
      <c r="AR55" s="247">
        <f>CN53</f>
        <v>2.8</v>
      </c>
      <c r="AS55" s="247"/>
      <c r="AT55" s="32"/>
      <c r="AU55" s="32"/>
      <c r="AV55" s="32"/>
      <c r="AW55" s="33" t="s">
        <v>43</v>
      </c>
      <c r="AX55" s="34">
        <f>(AS68+AS73+AS94)*100%/(AS63+AS68+AS73+AS78+AS83+AS88+AS94+AS99+AS104)</f>
        <v>0.1766248122049292</v>
      </c>
      <c r="AY55" s="35"/>
      <c r="AZ55" s="46"/>
      <c r="BA55" s="30"/>
      <c r="BB55" s="30"/>
      <c r="BC55" s="243"/>
      <c r="BD55" s="243"/>
      <c r="BE55" s="243"/>
      <c r="BF55" s="243"/>
      <c r="BG55" s="243"/>
      <c r="BH55" s="243"/>
      <c r="BI55" s="36"/>
      <c r="BJ55" s="37">
        <v>3</v>
      </c>
      <c r="BK55" s="38">
        <f t="shared" si="13"/>
        <v>7.6408809113522463E-2</v>
      </c>
      <c r="BL55" s="37">
        <v>3</v>
      </c>
      <c r="BM55" s="38">
        <f t="shared" si="14"/>
        <v>0.21735976736767859</v>
      </c>
      <c r="BN55" s="36"/>
      <c r="BO55" s="26"/>
      <c r="BP55" s="35">
        <v>3</v>
      </c>
      <c r="BQ55" s="35"/>
      <c r="BR55" s="35"/>
      <c r="BS55" s="35"/>
      <c r="BT55" s="35"/>
      <c r="BU55" s="35"/>
      <c r="BV55" s="35"/>
      <c r="BW55" s="35"/>
      <c r="BX55" s="35"/>
      <c r="BY55" s="35">
        <v>5</v>
      </c>
      <c r="BZ55" s="35"/>
      <c r="CA55" s="35"/>
      <c r="CB55" s="35"/>
      <c r="CC55" s="35"/>
      <c r="CD55" s="35"/>
      <c r="CE55" s="35">
        <v>5</v>
      </c>
      <c r="CF55" s="35"/>
      <c r="CG55" s="35"/>
      <c r="CH55" s="35"/>
      <c r="CI55" s="35"/>
      <c r="CJ55" s="35"/>
      <c r="CK55" s="35"/>
      <c r="CL55" s="35"/>
      <c r="CM55" s="25">
        <f t="shared" si="15"/>
        <v>0</v>
      </c>
      <c r="CN55" s="25">
        <f t="shared" si="16"/>
        <v>0</v>
      </c>
      <c r="CO55" s="25">
        <f t="shared" si="17"/>
        <v>0</v>
      </c>
      <c r="CP55" s="25">
        <f t="shared" si="18"/>
        <v>0</v>
      </c>
      <c r="CQ55" s="25"/>
      <c r="CR55" s="24"/>
      <c r="CS55" s="24"/>
      <c r="CT55" s="24"/>
      <c r="CU55" s="24"/>
      <c r="CV55" s="27"/>
      <c r="CW55" s="27"/>
      <c r="CX55" s="27"/>
      <c r="CY55" s="27"/>
      <c r="CZ55" s="27"/>
      <c r="DA55" s="27"/>
      <c r="DB55" s="242"/>
      <c r="DC55" s="249"/>
      <c r="DD55" s="249"/>
      <c r="DE55" s="27"/>
      <c r="DF55" s="27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5">
        <f t="shared" si="0"/>
        <v>8.9457396141869039E-4</v>
      </c>
      <c r="DZ55" s="24"/>
      <c r="EA55" s="25">
        <f t="shared" si="1"/>
        <v>3.1542993477535461E-2</v>
      </c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/>
      <c r="EV55" s="24"/>
      <c r="EW55" s="24"/>
      <c r="EX55" s="24"/>
      <c r="EY55" s="24"/>
      <c r="EZ55" s="24"/>
      <c r="FA55" s="24"/>
      <c r="FB55" s="24"/>
      <c r="FC55" s="24"/>
      <c r="FD55" s="24"/>
      <c r="FE55" s="24"/>
      <c r="FF55" s="24"/>
      <c r="FG55" s="24"/>
      <c r="FH55" s="24"/>
      <c r="FI55" s="24"/>
      <c r="FJ55" s="24"/>
    </row>
    <row r="56" spans="1:166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>
        <f>IF(SUM(R56:S56)&gt;L51,1,0)</f>
        <v>1</v>
      </c>
      <c r="O56" s="24"/>
      <c r="P56" s="24" t="str">
        <f>DATA!C7</f>
        <v>Каманда 1</v>
      </c>
      <c r="Q56" s="24">
        <f>DATA!D7</f>
        <v>6</v>
      </c>
      <c r="R56" s="24">
        <f>VALUE(LEFT(DATA!E7,FIND(":",DATA!E7,1)-1))</f>
        <v>3</v>
      </c>
      <c r="S56" s="24">
        <f>VALUE(LEFT(RIGHT(DATA!E7,LEN(DATA!E7)-FIND(":",DATA!E7,1)),4))</f>
        <v>2</v>
      </c>
      <c r="T56" s="24" t="str">
        <f>IF(P56=DATA!$G$1,"Дома","В гостях")</f>
        <v>Дома</v>
      </c>
      <c r="U56" s="24" t="str">
        <f t="shared" si="2"/>
        <v>В</v>
      </c>
      <c r="V56" s="24">
        <f t="shared" si="3"/>
        <v>3</v>
      </c>
      <c r="W56" s="24">
        <f t="shared" si="4"/>
        <v>2</v>
      </c>
      <c r="X56" s="24">
        <f t="shared" si="5"/>
        <v>1</v>
      </c>
      <c r="Y56" s="24">
        <f t="shared" si="6"/>
        <v>0</v>
      </c>
      <c r="Z56" s="24">
        <f t="shared" si="7"/>
        <v>1</v>
      </c>
      <c r="AA56" s="24">
        <f t="shared" si="8"/>
        <v>1</v>
      </c>
      <c r="AB56" s="24">
        <f t="shared" si="8"/>
        <v>1</v>
      </c>
      <c r="AC56" s="24">
        <f t="shared" si="9"/>
        <v>1</v>
      </c>
      <c r="AD56" s="24">
        <f t="shared" si="10"/>
        <v>1</v>
      </c>
      <c r="AE56" s="24">
        <f t="shared" si="11"/>
        <v>0.5</v>
      </c>
      <c r="AF56" s="24">
        <f t="shared" si="11"/>
        <v>0</v>
      </c>
      <c r="AG56" s="24">
        <f t="shared" si="12"/>
        <v>0</v>
      </c>
      <c r="AH56" s="24"/>
      <c r="AI56" s="24"/>
      <c r="AJ56" s="24"/>
      <c r="AK56" s="24"/>
      <c r="AL56" s="24"/>
      <c r="AM56" s="24"/>
      <c r="AN56" s="24"/>
      <c r="AO56" s="24"/>
      <c r="AP56" s="47"/>
      <c r="AQ56" s="45"/>
      <c r="AR56" s="45"/>
      <c r="AS56" s="45"/>
      <c r="AT56" s="45"/>
      <c r="AU56" s="45"/>
      <c r="AV56" s="45"/>
      <c r="AW56" s="33" t="s">
        <v>44</v>
      </c>
      <c r="AX56" s="34">
        <f>(AS63+AS88+AS104)*100%/(AS63+AS68+AS73+AS78+AS83+AS88+AS94+AS99+AS104)</f>
        <v>0.31471599798895933</v>
      </c>
      <c r="AY56" s="35"/>
      <c r="AZ56" s="24"/>
      <c r="BA56" s="24"/>
      <c r="BB56" s="24"/>
      <c r="BC56" s="252" t="str">
        <f>IF(BC52&gt;=48%,"SCOMMETTI!","")</f>
        <v/>
      </c>
      <c r="BD56" s="252"/>
      <c r="BE56" s="252" t="str">
        <f>IF(BE52&gt;=34%,"SCOMMETTI!","")</f>
        <v/>
      </c>
      <c r="BF56" s="252"/>
      <c r="BG56" s="252" t="str">
        <f>IF(BG52&gt;=34%,"SCOMMETTI!","")</f>
        <v>SCOMMETTI!</v>
      </c>
      <c r="BH56" s="252"/>
      <c r="BI56" s="36"/>
      <c r="BJ56" s="37">
        <v>4</v>
      </c>
      <c r="BK56" s="38">
        <f t="shared" si="13"/>
        <v>2.1394466551786288E-2</v>
      </c>
      <c r="BL56" s="37">
        <v>4</v>
      </c>
      <c r="BM56" s="38">
        <f t="shared" si="14"/>
        <v>0.14084912925425572</v>
      </c>
      <c r="BN56" s="36"/>
      <c r="BO56" s="26"/>
      <c r="BP56" s="35">
        <v>4</v>
      </c>
      <c r="BQ56" s="35"/>
      <c r="BR56" s="35"/>
      <c r="BS56" s="35"/>
      <c r="BT56" s="35"/>
      <c r="BU56" s="35"/>
      <c r="BV56" s="35"/>
      <c r="BW56" s="35"/>
      <c r="BX56" s="35"/>
      <c r="BY56" s="35">
        <v>5</v>
      </c>
      <c r="BZ56" s="35"/>
      <c r="CA56" s="35"/>
      <c r="CB56" s="35"/>
      <c r="CC56" s="35"/>
      <c r="CD56" s="35"/>
      <c r="CE56" s="35">
        <v>5</v>
      </c>
      <c r="CF56" s="35"/>
      <c r="CG56" s="35"/>
      <c r="CH56" s="35"/>
      <c r="CI56" s="35"/>
      <c r="CJ56" s="35"/>
      <c r="CK56" s="35"/>
      <c r="CL56" s="35"/>
      <c r="CM56" s="25">
        <f t="shared" si="15"/>
        <v>0</v>
      </c>
      <c r="CN56" s="25">
        <f t="shared" si="16"/>
        <v>0</v>
      </c>
      <c r="CO56" s="25">
        <f t="shared" si="17"/>
        <v>0</v>
      </c>
      <c r="CP56" s="25">
        <f t="shared" si="18"/>
        <v>0</v>
      </c>
      <c r="CQ56" s="25"/>
      <c r="CR56" s="24"/>
      <c r="CS56" s="24"/>
      <c r="CT56" s="24"/>
      <c r="CU56" s="24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4"/>
      <c r="DH56" s="24"/>
      <c r="DI56" s="24"/>
      <c r="DJ56" s="24"/>
      <c r="DK56" s="24"/>
      <c r="DL56" s="24"/>
      <c r="DM56" s="24"/>
      <c r="DN56" s="24"/>
      <c r="DO56" s="24"/>
      <c r="DP56" s="252" t="s">
        <v>45</v>
      </c>
      <c r="DQ56" s="252"/>
      <c r="DR56" s="252"/>
      <c r="DS56" s="252"/>
      <c r="DT56" s="252"/>
      <c r="DU56" s="252"/>
      <c r="DV56" s="24"/>
      <c r="DW56" s="24"/>
      <c r="DX56" s="24"/>
      <c r="DY56" s="25">
        <f t="shared" si="0"/>
        <v>1.4313183382699045E-4</v>
      </c>
      <c r="DZ56" s="24"/>
      <c r="EA56" s="25">
        <f t="shared" si="1"/>
        <v>1.1679919870538845E-2</v>
      </c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  <c r="FC56" s="24"/>
      <c r="FD56" s="24"/>
      <c r="FE56" s="24"/>
      <c r="FF56" s="24"/>
      <c r="FG56" s="24"/>
      <c r="FH56" s="24"/>
      <c r="FI56" s="24"/>
      <c r="FJ56" s="24"/>
    </row>
    <row r="57" spans="1:166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>
        <f>IF(SUM(R57:S57)&gt;L51,1,0)</f>
        <v>1</v>
      </c>
      <c r="O57" s="24"/>
      <c r="P57" s="24" t="str">
        <f>DATA!C8</f>
        <v>Каманда 1</v>
      </c>
      <c r="Q57" s="24">
        <f>DATA!D8</f>
        <v>7</v>
      </c>
      <c r="R57" s="24">
        <f>VALUE(LEFT(DATA!E8,FIND(":",DATA!E8,1)-1))</f>
        <v>3</v>
      </c>
      <c r="S57" s="24">
        <f>VALUE(LEFT(RIGHT(DATA!E8,LEN(DATA!E8)-FIND(":",DATA!E8,1)),4))</f>
        <v>3</v>
      </c>
      <c r="T57" s="24" t="str">
        <f>IF(P57=DATA!$G$1,"Дома","В гостях")</f>
        <v>Дома</v>
      </c>
      <c r="U57" s="24" t="str">
        <f t="shared" si="2"/>
        <v>Н</v>
      </c>
      <c r="V57" s="24">
        <f t="shared" si="3"/>
        <v>3</v>
      </c>
      <c r="W57" s="24">
        <f t="shared" si="4"/>
        <v>3</v>
      </c>
      <c r="X57" s="24">
        <f t="shared" si="5"/>
        <v>0</v>
      </c>
      <c r="Y57" s="24">
        <f t="shared" si="6"/>
        <v>0</v>
      </c>
      <c r="Z57" s="24">
        <f t="shared" si="7"/>
        <v>1</v>
      </c>
      <c r="AA57" s="24"/>
      <c r="AB57" s="24"/>
      <c r="AC57" s="24">
        <f>SUM(AC51:AC56)</f>
        <v>6</v>
      </c>
      <c r="AD57" s="24">
        <f>SUM(AD51:AD56)</f>
        <v>6</v>
      </c>
      <c r="AE57" s="24">
        <f>SUM(AE51:AE56)</f>
        <v>2</v>
      </c>
      <c r="AF57" s="24">
        <f>SUM(AF51:AF56)</f>
        <v>2</v>
      </c>
      <c r="AG57" s="24">
        <f>SUM(AG51:AG56)</f>
        <v>0</v>
      </c>
      <c r="AH57" s="24"/>
      <c r="AI57" s="24"/>
      <c r="AJ57" s="24"/>
      <c r="AK57" s="24"/>
      <c r="AL57" s="24"/>
      <c r="AM57" s="24"/>
      <c r="AN57" s="24"/>
      <c r="AO57" s="24"/>
      <c r="AP57" s="246" t="s">
        <v>46</v>
      </c>
      <c r="AQ57" s="246"/>
      <c r="AR57" s="247">
        <f>AY60*BA60</f>
        <v>1.1199999999999999</v>
      </c>
      <c r="AS57" s="247"/>
      <c r="AT57" s="32"/>
      <c r="AU57" s="32"/>
      <c r="AV57" s="32"/>
      <c r="AW57" s="33" t="s">
        <v>47</v>
      </c>
      <c r="AX57" s="34">
        <f>100%-AX55-AX56</f>
        <v>0.50865918980611147</v>
      </c>
      <c r="AY57" s="35"/>
      <c r="AZ57" s="24"/>
      <c r="BA57" s="24"/>
      <c r="BB57" s="24"/>
      <c r="BC57" s="26"/>
      <c r="BD57" s="26"/>
      <c r="BE57" s="26"/>
      <c r="BF57" s="26"/>
      <c r="BG57" s="26"/>
      <c r="BH57" s="26"/>
      <c r="BI57" s="36"/>
      <c r="BJ57" s="37">
        <v>5</v>
      </c>
      <c r="BK57" s="38">
        <f t="shared" si="13"/>
        <v>4.7923605076001276E-3</v>
      </c>
      <c r="BL57" s="37">
        <v>5</v>
      </c>
      <c r="BM57" s="38">
        <f t="shared" si="14"/>
        <v>7.3016188605406165E-2</v>
      </c>
      <c r="BN57" s="36"/>
      <c r="BO57" s="26"/>
      <c r="BP57" s="35">
        <v>5</v>
      </c>
      <c r="BQ57" s="35"/>
      <c r="BR57" s="35"/>
      <c r="BS57" s="35"/>
      <c r="BT57" s="35"/>
      <c r="BU57" s="35"/>
      <c r="BV57" s="35"/>
      <c r="BW57" s="35"/>
      <c r="BX57" s="35"/>
      <c r="BY57" s="35">
        <v>5</v>
      </c>
      <c r="BZ57" s="35"/>
      <c r="CA57" s="35"/>
      <c r="CB57" s="35"/>
      <c r="CC57" s="35"/>
      <c r="CD57" s="35"/>
      <c r="CE57" s="35">
        <v>5</v>
      </c>
      <c r="CF57" s="35"/>
      <c r="CG57" s="35"/>
      <c r="CH57" s="35"/>
      <c r="CI57" s="35"/>
      <c r="CJ57" s="35"/>
      <c r="CK57" s="35"/>
      <c r="CL57" s="35"/>
      <c r="CM57" s="25">
        <f t="shared" si="15"/>
        <v>0</v>
      </c>
      <c r="CN57" s="25">
        <f t="shared" si="16"/>
        <v>0</v>
      </c>
      <c r="CO57" s="25">
        <f t="shared" si="17"/>
        <v>0</v>
      </c>
      <c r="CP57" s="25">
        <f t="shared" si="18"/>
        <v>0</v>
      </c>
      <c r="CQ57" s="25"/>
      <c r="CR57" s="24"/>
      <c r="CS57" s="24"/>
      <c r="CT57" s="24"/>
      <c r="CU57" s="24"/>
      <c r="CV57" s="27" t="s">
        <v>48</v>
      </c>
      <c r="CW57" s="242" t="s">
        <v>49</v>
      </c>
      <c r="CX57" s="242"/>
      <c r="CY57" s="242"/>
      <c r="CZ57" s="242"/>
      <c r="DA57" s="242"/>
      <c r="DB57" s="242"/>
      <c r="DC57" s="242"/>
      <c r="DD57" s="242"/>
      <c r="DE57" s="27"/>
      <c r="DF57" s="244">
        <v>0</v>
      </c>
      <c r="DG57" s="244"/>
      <c r="DH57" s="244">
        <v>0</v>
      </c>
      <c r="DI57" s="244"/>
      <c r="DJ57" s="24"/>
      <c r="DK57" s="24"/>
      <c r="DL57" s="24"/>
      <c r="DM57" s="24"/>
      <c r="DN57" s="24"/>
      <c r="DO57" s="24"/>
      <c r="DP57" s="251" t="s">
        <v>50</v>
      </c>
      <c r="DQ57" s="251"/>
      <c r="DR57" s="251"/>
      <c r="DS57" s="251"/>
      <c r="DT57" s="24"/>
      <c r="DU57" s="48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/>
      <c r="EV57" s="24"/>
      <c r="EW57" s="24"/>
      <c r="EX57" s="24"/>
      <c r="EY57" s="24"/>
      <c r="EZ57" s="24"/>
      <c r="FA57" s="24"/>
      <c r="FB57" s="24"/>
      <c r="FC57" s="24"/>
      <c r="FD57" s="24"/>
      <c r="FE57" s="24"/>
      <c r="FF57" s="24"/>
      <c r="FG57" s="24"/>
      <c r="FH57" s="24"/>
      <c r="FI57" s="24"/>
      <c r="FJ57" s="24"/>
    </row>
    <row r="58" spans="1:166">
      <c r="A58" s="24"/>
      <c r="B58" s="24"/>
      <c r="C58" s="24"/>
      <c r="D58" s="24"/>
      <c r="E58" s="24"/>
      <c r="F58" s="40"/>
      <c r="G58" s="40"/>
      <c r="H58" s="24"/>
      <c r="I58" s="24"/>
      <c r="J58" s="40"/>
      <c r="K58" s="40"/>
      <c r="L58" s="24"/>
      <c r="M58" s="24"/>
      <c r="N58" s="24">
        <f>IF(SUM(R58:S58)&gt;L51,1,0)</f>
        <v>1</v>
      </c>
      <c r="O58" s="24"/>
      <c r="P58" s="24" t="str">
        <f>DATA!C9</f>
        <v>Каманда 1</v>
      </c>
      <c r="Q58" s="24">
        <f>DATA!D9</f>
        <v>8</v>
      </c>
      <c r="R58" s="24">
        <f>VALUE(LEFT(DATA!E9,FIND(":",DATA!E9,1)-1))</f>
        <v>2</v>
      </c>
      <c r="S58" s="24">
        <f>VALUE(LEFT(RIGHT(DATA!E9,LEN(DATA!E9)-FIND(":",DATA!E9,1)),4))</f>
        <v>3</v>
      </c>
      <c r="T58" s="24" t="str">
        <f>IF(P58=DATA!$G$1,"Дома","В гостях")</f>
        <v>Дома</v>
      </c>
      <c r="U58" s="24" t="str">
        <f t="shared" si="2"/>
        <v>П</v>
      </c>
      <c r="V58" s="24">
        <f t="shared" si="3"/>
        <v>2</v>
      </c>
      <c r="W58" s="24">
        <f t="shared" si="4"/>
        <v>3</v>
      </c>
      <c r="X58" s="24">
        <f t="shared" si="5"/>
        <v>0</v>
      </c>
      <c r="Y58" s="24">
        <f t="shared" si="6"/>
        <v>1</v>
      </c>
      <c r="Z58" s="24">
        <f t="shared" si="7"/>
        <v>1</v>
      </c>
      <c r="AA58" s="24"/>
      <c r="AB58" s="24"/>
      <c r="AC58" s="24" t="s">
        <v>51</v>
      </c>
      <c r="AD58" s="24" t="s">
        <v>52</v>
      </c>
      <c r="AE58" s="24" t="s">
        <v>53</v>
      </c>
      <c r="AF58" s="24" t="s">
        <v>54</v>
      </c>
      <c r="AG58" s="24" t="s">
        <v>55</v>
      </c>
      <c r="AH58" s="24"/>
      <c r="AI58" s="24"/>
      <c r="AJ58" s="24"/>
      <c r="AK58" s="24"/>
      <c r="AL58" s="24"/>
      <c r="AM58" s="24"/>
      <c r="AN58" s="24"/>
      <c r="AO58" s="24"/>
      <c r="AP58" s="246" t="s">
        <v>56</v>
      </c>
      <c r="AQ58" s="246"/>
      <c r="AR58" s="247">
        <f>AY67*BA67</f>
        <v>2.5920000000000001</v>
      </c>
      <c r="AS58" s="247"/>
      <c r="AT58" s="32"/>
      <c r="AU58" s="32"/>
      <c r="AV58" s="32"/>
      <c r="AW58" s="45"/>
      <c r="AX58" s="45"/>
      <c r="AY58" s="35"/>
      <c r="AZ58" s="24"/>
      <c r="BA58" s="24"/>
      <c r="BB58" s="24"/>
      <c r="BC58" s="26"/>
      <c r="BD58" s="26"/>
      <c r="BE58" s="26"/>
      <c r="BF58" s="26"/>
      <c r="BG58" s="26"/>
      <c r="BH58" s="26"/>
      <c r="BI58" s="36"/>
      <c r="BJ58" s="37">
        <v>6</v>
      </c>
      <c r="BK58" s="38">
        <f t="shared" si="13"/>
        <v>8.9457396141869039E-4</v>
      </c>
      <c r="BL58" s="37">
        <v>6</v>
      </c>
      <c r="BM58" s="38">
        <f t="shared" si="14"/>
        <v>3.1542993477535461E-2</v>
      </c>
      <c r="BN58" s="36"/>
      <c r="BO58" s="26"/>
      <c r="BP58" s="35">
        <v>6</v>
      </c>
      <c r="BQ58" s="35"/>
      <c r="BR58" s="35"/>
      <c r="BS58" s="35"/>
      <c r="BT58" s="35"/>
      <c r="BU58" s="35"/>
      <c r="BV58" s="35"/>
      <c r="BW58" s="35"/>
      <c r="BX58" s="35"/>
      <c r="BY58" s="35">
        <v>5</v>
      </c>
      <c r="BZ58" s="35"/>
      <c r="CA58" s="35"/>
      <c r="CB58" s="35"/>
      <c r="CC58" s="35"/>
      <c r="CD58" s="35"/>
      <c r="CE58" s="35">
        <v>5</v>
      </c>
      <c r="CF58" s="35"/>
      <c r="CG58" s="35"/>
      <c r="CH58" s="35"/>
      <c r="CI58" s="35"/>
      <c r="CJ58" s="35"/>
      <c r="CK58" s="35"/>
      <c r="CL58" s="35"/>
      <c r="CM58" s="25">
        <f t="shared" si="15"/>
        <v>0</v>
      </c>
      <c r="CN58" s="25">
        <f t="shared" si="16"/>
        <v>0</v>
      </c>
      <c r="CO58" s="25">
        <f t="shared" si="17"/>
        <v>0</v>
      </c>
      <c r="CP58" s="25">
        <f t="shared" si="18"/>
        <v>0</v>
      </c>
      <c r="CQ58" s="25"/>
      <c r="CR58" s="24"/>
      <c r="CS58" s="24"/>
      <c r="CT58" s="24"/>
      <c r="CU58" s="24"/>
      <c r="CV58" s="27"/>
      <c r="CW58" s="49" t="s">
        <v>57</v>
      </c>
      <c r="CX58" s="49" t="s">
        <v>58</v>
      </c>
      <c r="CY58" s="27"/>
      <c r="CZ58" s="49" t="s">
        <v>59</v>
      </c>
      <c r="DA58" s="49" t="s">
        <v>60</v>
      </c>
      <c r="DB58" s="50" t="s">
        <v>61</v>
      </c>
      <c r="DC58" s="27"/>
      <c r="DD58" s="27"/>
      <c r="DE58" s="27"/>
      <c r="DF58" s="37"/>
      <c r="DG58" s="35"/>
      <c r="DH58" s="35"/>
      <c r="DI58" s="24"/>
      <c r="DJ58" s="24"/>
      <c r="DK58" s="24"/>
      <c r="DL58" s="24"/>
      <c r="DM58" s="24"/>
      <c r="DN58" s="24"/>
      <c r="DO58" s="24"/>
      <c r="DP58" s="251"/>
      <c r="DQ58" s="251"/>
      <c r="DR58" s="251"/>
      <c r="DS58" s="251"/>
      <c r="DT58" s="48"/>
      <c r="DU58" s="48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  <c r="FC58" s="24"/>
      <c r="FD58" s="24"/>
      <c r="FE58" s="24"/>
      <c r="FF58" s="24"/>
      <c r="FG58" s="24"/>
      <c r="FH58" s="24"/>
      <c r="FI58" s="24"/>
      <c r="FJ58" s="24"/>
    </row>
    <row r="59" spans="1:166">
      <c r="A59" s="24"/>
      <c r="B59" s="24"/>
      <c r="C59" s="24"/>
      <c r="D59" s="24"/>
      <c r="E59" s="24"/>
      <c r="F59" s="40"/>
      <c r="G59" s="40"/>
      <c r="H59" s="24"/>
      <c r="I59" s="24"/>
      <c r="J59" s="24"/>
      <c r="K59" s="24"/>
      <c r="L59" s="24"/>
      <c r="M59" s="24"/>
      <c r="N59" s="24">
        <f>IF(SUM(R59:S59)&gt;L51,1,0)</f>
        <v>1</v>
      </c>
      <c r="O59" s="24"/>
      <c r="P59" s="24" t="str">
        <f>DATA!C10</f>
        <v>Каманда 1</v>
      </c>
      <c r="Q59" s="24">
        <f>DATA!D10</f>
        <v>9</v>
      </c>
      <c r="R59" s="24">
        <f>VALUE(LEFT(DATA!E10,FIND(":",DATA!E10,1)-1))</f>
        <v>3</v>
      </c>
      <c r="S59" s="24">
        <f>VALUE(LEFT(RIGHT(DATA!E10,LEN(DATA!E10)-FIND(":",DATA!E10,1)),4))</f>
        <v>3</v>
      </c>
      <c r="T59" s="24" t="str">
        <f>IF(P59=DATA!$G$1,"Дома","В гостях")</f>
        <v>Дома</v>
      </c>
      <c r="U59" s="24" t="str">
        <f t="shared" si="2"/>
        <v>Н</v>
      </c>
      <c r="V59" s="24">
        <f t="shared" si="3"/>
        <v>3</v>
      </c>
      <c r="W59" s="24">
        <f t="shared" si="4"/>
        <v>3</v>
      </c>
      <c r="X59" s="24">
        <f t="shared" si="5"/>
        <v>0</v>
      </c>
      <c r="Y59" s="24">
        <f t="shared" si="6"/>
        <v>0</v>
      </c>
      <c r="Z59" s="24">
        <f t="shared" si="7"/>
        <v>1</v>
      </c>
      <c r="AA59" s="24"/>
      <c r="AB59" s="24">
        <f>SUM(AC57:AG57)</f>
        <v>16</v>
      </c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45"/>
      <c r="AQ59" s="45"/>
      <c r="AR59" s="51"/>
      <c r="AS59" s="45"/>
      <c r="AT59" s="45"/>
      <c r="AU59" s="45"/>
      <c r="AV59" s="45"/>
      <c r="AW59" s="45"/>
      <c r="AX59" s="45"/>
      <c r="AY59" s="243" t="s">
        <v>62</v>
      </c>
      <c r="AZ59" s="243"/>
      <c r="BA59" s="243"/>
      <c r="BB59" s="39"/>
      <c r="BC59" s="26"/>
      <c r="BD59" s="26"/>
      <c r="BE59" s="26"/>
      <c r="BF59" s="26"/>
      <c r="BG59" s="26"/>
      <c r="BH59" s="26"/>
      <c r="BI59" s="36"/>
      <c r="BJ59" s="37">
        <v>7</v>
      </c>
      <c r="BK59" s="38">
        <f t="shared" si="13"/>
        <v>1.4313183382699045E-4</v>
      </c>
      <c r="BL59" s="37">
        <v>7</v>
      </c>
      <c r="BM59" s="38">
        <f t="shared" si="14"/>
        <v>1.1679919870538845E-2</v>
      </c>
      <c r="BN59" s="36"/>
      <c r="BO59" s="26"/>
      <c r="BP59" s="35">
        <v>7</v>
      </c>
      <c r="BQ59" s="35"/>
      <c r="BR59" s="35"/>
      <c r="BS59" s="35"/>
      <c r="BT59" s="35"/>
      <c r="BU59" s="35"/>
      <c r="BV59" s="35"/>
      <c r="BW59" s="35"/>
      <c r="BX59" s="35"/>
      <c r="BY59" s="35">
        <v>5</v>
      </c>
      <c r="BZ59" s="35"/>
      <c r="CA59" s="35"/>
      <c r="CB59" s="35"/>
      <c r="CC59" s="35"/>
      <c r="CD59" s="35"/>
      <c r="CE59" s="35">
        <v>5</v>
      </c>
      <c r="CF59" s="35"/>
      <c r="CG59" s="35"/>
      <c r="CH59" s="35"/>
      <c r="CI59" s="35"/>
      <c r="CJ59" s="35"/>
      <c r="CK59" s="35"/>
      <c r="CL59" s="35"/>
      <c r="CM59" s="25">
        <f t="shared" si="15"/>
        <v>0</v>
      </c>
      <c r="CN59" s="25">
        <f t="shared" si="16"/>
        <v>0</v>
      </c>
      <c r="CO59" s="25">
        <f t="shared" si="17"/>
        <v>0</v>
      </c>
      <c r="CP59" s="25">
        <f t="shared" si="18"/>
        <v>0</v>
      </c>
      <c r="CQ59" s="25"/>
      <c r="CR59" s="24"/>
      <c r="CS59" s="24"/>
      <c r="CT59" s="24"/>
      <c r="CU59" s="24"/>
      <c r="CV59" s="27"/>
      <c r="CW59" s="49">
        <v>7</v>
      </c>
      <c r="CX59" s="49">
        <v>0</v>
      </c>
      <c r="CY59" s="52"/>
      <c r="CZ59" s="53">
        <f>(((POWER(CZ53,CW59))*POWER(2.718,-CZ53))/FACT(CW59))</f>
        <v>1.4313183382699045E-4</v>
      </c>
      <c r="DA59" s="53">
        <f>(((POWER(CZ54,CX59))*POWER(2.718,-CZ54))/FACT(CX59))</f>
        <v>7.4890273974438815E-2</v>
      </c>
      <c r="DB59" s="54">
        <f t="shared" ref="DB59:DB86" si="19">CZ59*DA59</f>
        <v>1.0719182249767165E-5</v>
      </c>
      <c r="DC59" s="52" t="str">
        <f t="shared" ref="DC59:DC86" si="20">IF(DB59=MAX($DB$59:$DB$86),"&lt;-- PRONO","")</f>
        <v/>
      </c>
      <c r="DD59" s="27"/>
      <c r="DE59" s="27"/>
      <c r="DF59" s="37">
        <v>0</v>
      </c>
      <c r="DG59" s="38">
        <f>CZ91</f>
        <v>0.32631768651570398</v>
      </c>
      <c r="DH59" s="37">
        <v>0</v>
      </c>
      <c r="DI59" s="55">
        <f t="shared" ref="DI59:DI65" si="21">DA59</f>
        <v>7.4890273974438815E-2</v>
      </c>
      <c r="DJ59" s="24"/>
      <c r="DK59" s="24"/>
      <c r="DL59" s="24"/>
      <c r="DM59" s="24"/>
      <c r="DN59" s="24"/>
      <c r="DO59" s="24"/>
      <c r="DP59" s="251" t="s">
        <v>14</v>
      </c>
      <c r="DQ59" s="251"/>
      <c r="DR59" s="251"/>
      <c r="DS59" s="251"/>
      <c r="DT59" s="24"/>
      <c r="DU59" s="48"/>
      <c r="DV59" s="24"/>
      <c r="DW59" s="24"/>
      <c r="DX59" s="24"/>
      <c r="DY59" s="24"/>
      <c r="DZ59" s="48" t="s">
        <v>63</v>
      </c>
      <c r="EA59" s="48"/>
      <c r="EB59" s="48"/>
      <c r="EC59" s="48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</row>
    <row r="60" spans="1:166">
      <c r="A60" s="24"/>
      <c r="B60" s="24"/>
      <c r="C60" s="24"/>
      <c r="D60" s="24"/>
      <c r="E60" s="24"/>
      <c r="F60" s="24"/>
      <c r="G60" s="24"/>
      <c r="H60" s="24"/>
      <c r="I60" s="24"/>
      <c r="J60" s="40"/>
      <c r="K60" s="40"/>
      <c r="L60" s="24"/>
      <c r="M60" s="24">
        <f>SUM(N51:N60)</f>
        <v>9</v>
      </c>
      <c r="N60" s="24">
        <f>IF(SUM(R60:S60)&gt;L51,1,0)</f>
        <v>1</v>
      </c>
      <c r="O60" s="24"/>
      <c r="P60" s="24" t="str">
        <f>DATA!C11</f>
        <v>Каманда 1</v>
      </c>
      <c r="Q60" s="24">
        <f>DATA!D11</f>
        <v>10</v>
      </c>
      <c r="R60" s="24">
        <f>VALUE(LEFT(DATA!E11,FIND(":",DATA!E11,1)-1))</f>
        <v>3</v>
      </c>
      <c r="S60" s="24">
        <f>VALUE(LEFT(RIGHT(DATA!E11,LEN(DATA!E11)-FIND(":",DATA!E11,1)),4))</f>
        <v>6</v>
      </c>
      <c r="T60" s="24" t="str">
        <f>IF(P60=DATA!$G$1,"Дома","В гостях")</f>
        <v>Дома</v>
      </c>
      <c r="U60" s="24" t="str">
        <f t="shared" si="2"/>
        <v>П</v>
      </c>
      <c r="V60" s="24">
        <f t="shared" si="3"/>
        <v>3</v>
      </c>
      <c r="W60" s="24">
        <f t="shared" si="4"/>
        <v>6</v>
      </c>
      <c r="X60" s="24">
        <f t="shared" si="5"/>
        <v>0</v>
      </c>
      <c r="Y60" s="24">
        <f t="shared" si="6"/>
        <v>1</v>
      </c>
      <c r="Z60" s="24">
        <f t="shared" si="7"/>
        <v>1</v>
      </c>
      <c r="AA60" s="24"/>
      <c r="AB60" s="24"/>
      <c r="AC60" s="24"/>
      <c r="AD60" s="24"/>
      <c r="AE60" s="24"/>
      <c r="AF60" s="24"/>
      <c r="AG60" s="24"/>
      <c r="AH60" s="29" t="str">
        <f>IF(AH51+AH52+AH63+AH64+AH65+AH66=6,"ТБ 2,5","-")</f>
        <v>ТБ 2,5</v>
      </c>
      <c r="AI60" s="24"/>
      <c r="AJ60" s="24"/>
      <c r="AK60" s="24"/>
      <c r="AL60" s="24"/>
      <c r="AM60" s="24"/>
      <c r="AN60" s="24"/>
      <c r="AO60" s="56"/>
      <c r="AP60" s="241"/>
      <c r="AQ60" s="241"/>
      <c r="AR60" s="241"/>
      <c r="AS60" s="45" t="s">
        <v>64</v>
      </c>
      <c r="AT60" s="45"/>
      <c r="AU60" s="45"/>
      <c r="AV60" s="45"/>
      <c r="AW60" s="45"/>
      <c r="AX60" s="45"/>
      <c r="AY60" s="253">
        <f>(AR52+AR53)/2</f>
        <v>2.8</v>
      </c>
      <c r="AZ60" s="253">
        <f>AT52</f>
        <v>2</v>
      </c>
      <c r="BA60" s="253">
        <f>AZ60/5</f>
        <v>0.4</v>
      </c>
      <c r="BB60" s="57"/>
      <c r="BC60" s="26"/>
      <c r="BD60" s="26"/>
      <c r="BE60" s="26"/>
      <c r="BF60" s="26"/>
      <c r="BG60" s="26"/>
      <c r="BH60" s="26"/>
      <c r="BI60" s="26"/>
      <c r="BJ60" s="58"/>
      <c r="BK60" s="58"/>
      <c r="BL60" s="58"/>
      <c r="BM60" s="58"/>
      <c r="BN60" s="26"/>
      <c r="BO60" s="26"/>
      <c r="BP60" s="35">
        <v>8</v>
      </c>
      <c r="BQ60" s="35"/>
      <c r="BR60" s="35"/>
      <c r="BS60" s="35"/>
      <c r="BT60" s="35"/>
      <c r="BU60" s="35"/>
      <c r="BV60" s="35"/>
      <c r="BW60" s="35"/>
      <c r="BX60" s="35"/>
      <c r="BY60" s="35">
        <v>5</v>
      </c>
      <c r="BZ60" s="35"/>
      <c r="CA60" s="35"/>
      <c r="CB60" s="35"/>
      <c r="CC60" s="35"/>
      <c r="CD60" s="35"/>
      <c r="CE60" s="35">
        <v>5</v>
      </c>
      <c r="CF60" s="35"/>
      <c r="CG60" s="35"/>
      <c r="CH60" s="35"/>
      <c r="CI60" s="35"/>
      <c r="CJ60" s="35"/>
      <c r="CK60" s="35"/>
      <c r="CL60" s="35"/>
      <c r="CM60" s="25">
        <f t="shared" si="15"/>
        <v>0</v>
      </c>
      <c r="CN60" s="25">
        <f t="shared" si="16"/>
        <v>0</v>
      </c>
      <c r="CO60" s="25">
        <f t="shared" si="17"/>
        <v>0</v>
      </c>
      <c r="CP60" s="25">
        <f t="shared" si="18"/>
        <v>0</v>
      </c>
      <c r="CQ60" s="25"/>
      <c r="CR60" s="56"/>
      <c r="CS60" s="24"/>
      <c r="CT60" s="24"/>
      <c r="CU60" s="24"/>
      <c r="CV60" s="27"/>
      <c r="CW60" s="49">
        <v>7</v>
      </c>
      <c r="CX60" s="49">
        <v>1</v>
      </c>
      <c r="CY60" s="52"/>
      <c r="CZ60" s="53">
        <f>(((POWER(CZ53,CW60))*POWER(2.718,-CZ53))/FACT(CW60))</f>
        <v>1.4313183382699045E-4</v>
      </c>
      <c r="DA60" s="53">
        <f>(((POWER(CZ54,CX60))*POWER(2.718,-CZ54))/FACT(CX60))</f>
        <v>0.19411559014174543</v>
      </c>
      <c r="DB60" s="54">
        <f t="shared" si="19"/>
        <v>2.7784120391396492E-5</v>
      </c>
      <c r="DC60" s="52" t="str">
        <f t="shared" si="20"/>
        <v/>
      </c>
      <c r="DD60" s="27"/>
      <c r="DE60" s="27"/>
      <c r="DF60" s="37">
        <v>1</v>
      </c>
      <c r="DG60" s="38">
        <f>CZ86</f>
        <v>0.36547580889758841</v>
      </c>
      <c r="DH60" s="37">
        <v>1</v>
      </c>
      <c r="DI60" s="55">
        <f t="shared" si="21"/>
        <v>0.19411559014174543</v>
      </c>
      <c r="DJ60" s="24"/>
      <c r="DK60" s="24"/>
      <c r="DL60" s="24"/>
      <c r="DM60" s="24"/>
      <c r="DN60" s="24"/>
      <c r="DO60" s="24"/>
      <c r="DP60" s="251"/>
      <c r="DQ60" s="251"/>
      <c r="DR60" s="251"/>
      <c r="DS60" s="251"/>
      <c r="DT60" s="48"/>
      <c r="DU60" s="48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</row>
    <row r="61" spans="1:166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>
        <f>SUM(V51:V60)</f>
        <v>26</v>
      </c>
      <c r="W61" s="24"/>
      <c r="X61" s="24"/>
      <c r="Y61" s="24"/>
      <c r="Z61" s="24" t="str">
        <f t="shared" si="7"/>
        <v/>
      </c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56"/>
      <c r="AP61" s="246" t="s">
        <v>65</v>
      </c>
      <c r="AQ61" s="246"/>
      <c r="AR61" s="33">
        <v>0</v>
      </c>
      <c r="AS61" s="46">
        <f>(((POWER(AR57,AR61))*POWER(2.718,-AR57))/FACT(AR61))</f>
        <v>0.32631768651570398</v>
      </c>
      <c r="AT61" s="46"/>
      <c r="AU61" s="46"/>
      <c r="AV61" s="46"/>
      <c r="AW61" s="46"/>
      <c r="AX61" s="45"/>
      <c r="AY61" s="253"/>
      <c r="AZ61" s="253"/>
      <c r="BA61" s="253"/>
      <c r="BB61" s="57"/>
      <c r="BC61" s="26"/>
      <c r="BD61" s="26"/>
      <c r="BE61" s="26"/>
      <c r="BF61" s="26"/>
      <c r="BG61" s="26"/>
      <c r="BH61" s="26"/>
      <c r="BI61" s="26"/>
      <c r="BJ61" s="58"/>
      <c r="BK61" s="58"/>
      <c r="BL61" s="58"/>
      <c r="BM61" s="58"/>
      <c r="BN61" s="26"/>
      <c r="BO61" s="26"/>
      <c r="BP61" s="35">
        <v>9</v>
      </c>
      <c r="BQ61" s="35"/>
      <c r="BR61" s="35"/>
      <c r="BS61" s="35"/>
      <c r="BT61" s="35"/>
      <c r="BU61" s="35"/>
      <c r="BV61" s="35"/>
      <c r="BW61" s="35"/>
      <c r="BX61" s="35"/>
      <c r="BY61" s="35">
        <v>5</v>
      </c>
      <c r="BZ61" s="35"/>
      <c r="CA61" s="35"/>
      <c r="CB61" s="35"/>
      <c r="CC61" s="35"/>
      <c r="CD61" s="35"/>
      <c r="CE61" s="35">
        <v>5</v>
      </c>
      <c r="CF61" s="35"/>
      <c r="CG61" s="35"/>
      <c r="CH61" s="35"/>
      <c r="CI61" s="35"/>
      <c r="CJ61" s="35"/>
      <c r="CK61" s="35"/>
      <c r="CL61" s="35"/>
      <c r="CM61" s="25">
        <f t="shared" si="15"/>
        <v>0</v>
      </c>
      <c r="CN61" s="25">
        <f t="shared" si="16"/>
        <v>0</v>
      </c>
      <c r="CO61" s="25">
        <f t="shared" si="17"/>
        <v>0</v>
      </c>
      <c r="CP61" s="25">
        <f t="shared" si="18"/>
        <v>0</v>
      </c>
      <c r="CQ61" s="25"/>
      <c r="CR61" s="56"/>
      <c r="CS61" s="24"/>
      <c r="CT61" s="24"/>
      <c r="CU61" s="24"/>
      <c r="CV61" s="27"/>
      <c r="CW61" s="49">
        <v>7</v>
      </c>
      <c r="CX61" s="49">
        <v>2</v>
      </c>
      <c r="CY61" s="52"/>
      <c r="CZ61" s="53">
        <f>(((POWER(CZ53,CW61))*POWER(2.718,-CZ53))/FACT(CW61))</f>
        <v>1.4313183382699045E-4</v>
      </c>
      <c r="DA61" s="53">
        <f>(((POWER(CZ54,CX61))*POWER(2.718,-CZ54))/FACT(CX61))</f>
        <v>0.25157380482370206</v>
      </c>
      <c r="DB61" s="54">
        <f t="shared" si="19"/>
        <v>3.6008220027249856E-5</v>
      </c>
      <c r="DC61" s="52" t="str">
        <f t="shared" si="20"/>
        <v/>
      </c>
      <c r="DD61" s="27"/>
      <c r="DE61" s="27"/>
      <c r="DF61" s="37">
        <v>2</v>
      </c>
      <c r="DG61" s="38">
        <f>CZ85</f>
        <v>0.20466645298264949</v>
      </c>
      <c r="DH61" s="37">
        <v>2</v>
      </c>
      <c r="DI61" s="55">
        <f>DA61</f>
        <v>0.25157380482370206</v>
      </c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</row>
    <row r="62" spans="1:166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>
        <f>L51</f>
        <v>3.5</v>
      </c>
      <c r="M62" s="24"/>
      <c r="N62" s="24">
        <f>IF(SUM(R63:S63)&gt;L62,1,0)</f>
        <v>1</v>
      </c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 t="s">
        <v>14</v>
      </c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56"/>
      <c r="AP62" s="246" t="s">
        <v>66</v>
      </c>
      <c r="AQ62" s="246"/>
      <c r="AR62" s="33">
        <v>0</v>
      </c>
      <c r="AS62" s="46">
        <f>(((POWER(AR58,AR62))*POWER(2.718,-AR58))/FACT(AR62))</f>
        <v>7.4890273974438815E-2</v>
      </c>
      <c r="AT62" s="46"/>
      <c r="AU62" s="46"/>
      <c r="AV62" s="46"/>
      <c r="AW62" s="46"/>
      <c r="AX62" s="45"/>
      <c r="AY62" s="253"/>
      <c r="AZ62" s="253"/>
      <c r="BA62" s="253"/>
      <c r="BB62" s="5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35">
        <v>10</v>
      </c>
      <c r="BQ62" s="35"/>
      <c r="BR62" s="35"/>
      <c r="BS62" s="35"/>
      <c r="BT62" s="35"/>
      <c r="BU62" s="35"/>
      <c r="BV62" s="35"/>
      <c r="BW62" s="35"/>
      <c r="BX62" s="35"/>
      <c r="BY62" s="35">
        <v>5</v>
      </c>
      <c r="BZ62" s="35"/>
      <c r="CA62" s="35"/>
      <c r="CB62" s="35"/>
      <c r="CC62" s="35"/>
      <c r="CD62" s="35"/>
      <c r="CE62" s="35">
        <v>5</v>
      </c>
      <c r="CF62" s="35"/>
      <c r="CG62" s="35"/>
      <c r="CH62" s="35"/>
      <c r="CI62" s="35"/>
      <c r="CJ62" s="35"/>
      <c r="CK62" s="35"/>
      <c r="CL62" s="35"/>
      <c r="CM62" s="25">
        <f t="shared" si="15"/>
        <v>0</v>
      </c>
      <c r="CN62" s="25">
        <f t="shared" si="16"/>
        <v>0</v>
      </c>
      <c r="CO62" s="25">
        <f t="shared" si="17"/>
        <v>0</v>
      </c>
      <c r="CP62" s="25">
        <f t="shared" si="18"/>
        <v>0</v>
      </c>
      <c r="CQ62" s="25"/>
      <c r="CR62" s="56"/>
      <c r="CS62" s="24"/>
      <c r="CT62" s="24"/>
      <c r="CU62" s="24"/>
      <c r="CV62" s="27"/>
      <c r="CW62" s="49">
        <v>7</v>
      </c>
      <c r="CX62" s="49">
        <v>3</v>
      </c>
      <c r="CY62" s="52"/>
      <c r="CZ62" s="53">
        <f>(((POWER(CZ53,CW62))*POWER(2.718,-CZ53))/FACT(CW62))</f>
        <v>1.4313183382699045E-4</v>
      </c>
      <c r="DA62" s="53">
        <f>(((POWER(CZ54,CX62))*POWER(2.718,-CZ54))/FACT(CX62))</f>
        <v>0.21735976736767859</v>
      </c>
      <c r="DB62" s="54">
        <f t="shared" si="19"/>
        <v>3.1111102103543875E-5</v>
      </c>
      <c r="DC62" s="52" t="str">
        <f t="shared" si="20"/>
        <v/>
      </c>
      <c r="DD62" s="27"/>
      <c r="DE62" s="27"/>
      <c r="DF62" s="37">
        <v>3</v>
      </c>
      <c r="DG62" s="38">
        <f>CZ83</f>
        <v>7.6408809113522463E-2</v>
      </c>
      <c r="DH62" s="37">
        <v>3</v>
      </c>
      <c r="DI62" s="55">
        <f t="shared" si="21"/>
        <v>0.21735976736767859</v>
      </c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</row>
    <row r="63" spans="1:166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>
        <f>IF(SUM(R64:S64)&gt;L62,1,0)</f>
        <v>1</v>
      </c>
      <c r="O63" s="24"/>
      <c r="P63" s="24">
        <f>DATA!C14</f>
        <v>1</v>
      </c>
      <c r="Q63" s="24" t="str">
        <f>DATA!D14</f>
        <v>Команда 2</v>
      </c>
      <c r="R63" s="24">
        <f>VALUE(LEFT(DATA!E14,FIND(":",DATA!E14,1)-1))</f>
        <v>5</v>
      </c>
      <c r="S63" s="24">
        <f>VALUE(LEFT(RIGHT(DATA!E14,LEN(DATA!E14)-FIND(":",DATA!E14,1)),4))</f>
        <v>5</v>
      </c>
      <c r="T63" s="24" t="str">
        <f>IF(P63=DATA!$K$1,"Дома","В гостях")</f>
        <v>В гостях</v>
      </c>
      <c r="U63" s="24" t="str">
        <f t="shared" ref="U63:U72" si="22">IF(T63="Дома",IF(R63&gt;S63,"В",IF(R63=S63,"Н","П")),IF(R63&lt;S63,"В",IF(R63=S63,"Н","П")))</f>
        <v>Н</v>
      </c>
      <c r="V63" s="24">
        <f t="shared" ref="V63:V72" si="23">IFERROR(IF(T63="Дома",R63,S63),"")</f>
        <v>5</v>
      </c>
      <c r="W63" s="24">
        <f t="shared" ref="W63:W72" si="24">IFERROR(IF(T63="Дома",S63,R63),"")</f>
        <v>5</v>
      </c>
      <c r="X63" s="24">
        <f t="shared" ref="X63:X72" si="25">IF(U63="В",1,0)</f>
        <v>0</v>
      </c>
      <c r="Y63" s="24">
        <f t="shared" ref="Y63:Y72" si="26">IF(U63="П",1,0)</f>
        <v>0</v>
      </c>
      <c r="Z63" s="24">
        <f t="shared" ref="Z63:Z72" si="27">IF(SUM(R63:S63)&gt;2.5,1,"")</f>
        <v>1</v>
      </c>
      <c r="AA63" s="24">
        <f t="shared" ref="AA63:AB68" si="28">IF(R63&gt;0,1,0)</f>
        <v>1</v>
      </c>
      <c r="AB63" s="24">
        <f t="shared" si="28"/>
        <v>1</v>
      </c>
      <c r="AC63" s="24">
        <f t="shared" ref="AC63:AC68" si="29">IF(AA63+AB63=2,1,IF(AA63+AB63=1,0))</f>
        <v>1</v>
      </c>
      <c r="AD63" s="24">
        <f t="shared" ref="AD63:AD68" si="30">IF(T63="В гостях",AC63,0)</f>
        <v>1</v>
      </c>
      <c r="AE63" s="24">
        <f t="shared" ref="AE63:AF68" si="31">IF(V63&gt;2,0.5,0)</f>
        <v>0.5</v>
      </c>
      <c r="AF63" s="24">
        <f t="shared" si="31"/>
        <v>0.5</v>
      </c>
      <c r="AG63" s="24">
        <f t="shared" ref="AG63:AG68" si="32">IF(R63+S63=0,-2,0)</f>
        <v>0</v>
      </c>
      <c r="AH63" s="29">
        <f>IF(SUM(V63:W65)&gt;7.5,1,0)</f>
        <v>1</v>
      </c>
      <c r="AI63" s="24"/>
      <c r="AJ63" s="24"/>
      <c r="AK63" s="24"/>
      <c r="AL63" s="24"/>
      <c r="AM63" s="24"/>
      <c r="AN63" s="24"/>
      <c r="AO63" s="56"/>
      <c r="AP63" s="246" t="s">
        <v>67</v>
      </c>
      <c r="AQ63" s="246"/>
      <c r="AR63" s="45" t="str">
        <f>CONCATENATE(AR61,"-",AR62)</f>
        <v>0-0</v>
      </c>
      <c r="AS63" s="41">
        <f>AS61*AS62</f>
        <v>2.4438020945866109E-2</v>
      </c>
      <c r="AT63" s="41"/>
      <c r="AU63" s="41"/>
      <c r="AV63" s="41"/>
      <c r="AW63" s="45" t="str">
        <f>CONCATENATE("la quota è circa ",ROUNDUP(1/AS63,0)," a 1")</f>
        <v>la quota è circa 41 a 1</v>
      </c>
      <c r="AX63" s="59"/>
      <c r="AY63" s="47"/>
      <c r="AZ63" s="56"/>
      <c r="BA63" s="56"/>
      <c r="BB63" s="5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35">
        <v>11</v>
      </c>
      <c r="BQ63" s="35"/>
      <c r="BR63" s="35"/>
      <c r="BS63" s="35"/>
      <c r="BT63" s="35"/>
      <c r="BU63" s="35"/>
      <c r="BV63" s="35"/>
      <c r="BW63" s="35"/>
      <c r="BX63" s="35"/>
      <c r="BY63" s="35">
        <v>5</v>
      </c>
      <c r="BZ63" s="35"/>
      <c r="CA63" s="35"/>
      <c r="CB63" s="35"/>
      <c r="CC63" s="35"/>
      <c r="CD63" s="35"/>
      <c r="CE63" s="35">
        <v>5</v>
      </c>
      <c r="CF63" s="35"/>
      <c r="CG63" s="35"/>
      <c r="CH63" s="35"/>
      <c r="CI63" s="35"/>
      <c r="CJ63" s="35"/>
      <c r="CK63" s="35"/>
      <c r="CL63" s="35"/>
      <c r="CM63" s="25">
        <f t="shared" si="15"/>
        <v>0</v>
      </c>
      <c r="CN63" s="25">
        <f t="shared" si="16"/>
        <v>0</v>
      </c>
      <c r="CO63" s="25">
        <f t="shared" si="17"/>
        <v>0</v>
      </c>
      <c r="CP63" s="25">
        <f t="shared" si="18"/>
        <v>0</v>
      </c>
      <c r="CQ63" s="25"/>
      <c r="CR63" s="56"/>
      <c r="CS63" s="24"/>
      <c r="CT63" s="24"/>
      <c r="CU63" s="24"/>
      <c r="CV63" s="27"/>
      <c r="CW63" s="49">
        <v>7</v>
      </c>
      <c r="CX63" s="49">
        <v>4</v>
      </c>
      <c r="CY63" s="52"/>
      <c r="CZ63" s="53">
        <f>(((POWER(CZ53,CW63))*POWER(2.718,-CZ53))/FACT(CW63))</f>
        <v>1.4313183382699045E-4</v>
      </c>
      <c r="DA63" s="53">
        <f>(((POWER(CZ54,CX63))*POWER(2.718,-CZ54))/FACT(CX63))</f>
        <v>0.14084912925425572</v>
      </c>
      <c r="DB63" s="54">
        <f t="shared" si="19"/>
        <v>2.0159994163096428E-5</v>
      </c>
      <c r="DC63" s="52" t="str">
        <f t="shared" si="20"/>
        <v/>
      </c>
      <c r="DD63" s="27"/>
      <c r="DE63" s="27"/>
      <c r="DF63" s="37">
        <v>4</v>
      </c>
      <c r="DG63" s="38">
        <f>CZ77</f>
        <v>2.1394466551786288E-2</v>
      </c>
      <c r="DH63" s="37">
        <v>4</v>
      </c>
      <c r="DI63" s="55">
        <f t="shared" si="21"/>
        <v>0.14084912925425572</v>
      </c>
      <c r="DJ63" s="24"/>
      <c r="DK63" s="24"/>
      <c r="DL63" s="24"/>
      <c r="DM63" s="24"/>
      <c r="DN63" s="24"/>
      <c r="DO63" s="241" t="s">
        <v>68</v>
      </c>
      <c r="DP63" s="241"/>
      <c r="DQ63" s="241"/>
      <c r="DR63" s="241"/>
      <c r="DS63" s="241"/>
      <c r="DT63" s="241"/>
      <c r="DU63" s="241"/>
      <c r="DV63" s="241"/>
      <c r="DW63" s="241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/>
      <c r="EV63" s="24"/>
      <c r="EW63" s="24"/>
      <c r="EX63" s="24"/>
      <c r="EY63" s="24"/>
      <c r="EZ63" s="24"/>
      <c r="FA63" s="24"/>
      <c r="FB63" s="24"/>
      <c r="FC63" s="24"/>
      <c r="FD63" s="24"/>
      <c r="FE63" s="24"/>
      <c r="FF63" s="24"/>
      <c r="FG63" s="24"/>
      <c r="FH63" s="24"/>
      <c r="FI63" s="24"/>
      <c r="FJ63" s="24"/>
    </row>
    <row r="64" spans="1:166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>
        <f>IF(SUM(R65:S65)&gt;L62,1,0)</f>
        <v>1</v>
      </c>
      <c r="O64" s="24"/>
      <c r="P64" s="24">
        <f>DATA!C15</f>
        <v>2</v>
      </c>
      <c r="Q64" s="24" t="str">
        <f>DATA!D15</f>
        <v>Команда 2</v>
      </c>
      <c r="R64" s="24">
        <f>VALUE(LEFT(DATA!E15,FIND(":",DATA!E15,1)-1))</f>
        <v>2</v>
      </c>
      <c r="S64" s="24">
        <f>VALUE(LEFT(RIGHT(DATA!E15,LEN(DATA!E15)-FIND(":",DATA!E15,1)),4))</f>
        <v>2</v>
      </c>
      <c r="T64" s="24" t="str">
        <f>IF(P64=DATA!$K$1,"Дома","В гостях")</f>
        <v>В гостях</v>
      </c>
      <c r="U64" s="24" t="str">
        <f t="shared" si="22"/>
        <v>Н</v>
      </c>
      <c r="V64" s="24">
        <f t="shared" si="23"/>
        <v>2</v>
      </c>
      <c r="W64" s="24">
        <f t="shared" si="24"/>
        <v>2</v>
      </c>
      <c r="X64" s="24">
        <f t="shared" si="25"/>
        <v>0</v>
      </c>
      <c r="Y64" s="24">
        <f t="shared" si="26"/>
        <v>0</v>
      </c>
      <c r="Z64" s="24">
        <f t="shared" si="27"/>
        <v>1</v>
      </c>
      <c r="AA64" s="24">
        <f t="shared" si="28"/>
        <v>1</v>
      </c>
      <c r="AB64" s="24">
        <f t="shared" si="28"/>
        <v>1</v>
      </c>
      <c r="AC64" s="24">
        <f t="shared" si="29"/>
        <v>1</v>
      </c>
      <c r="AD64" s="24">
        <f t="shared" si="30"/>
        <v>1</v>
      </c>
      <c r="AE64" s="24">
        <f t="shared" si="31"/>
        <v>0</v>
      </c>
      <c r="AF64" s="24">
        <f t="shared" si="31"/>
        <v>0</v>
      </c>
      <c r="AG64" s="24">
        <f t="shared" si="32"/>
        <v>0</v>
      </c>
      <c r="AH64" s="29" t="str">
        <f>IF(SUM(Z63:Z65)&gt;1.5,"1","0")</f>
        <v>1</v>
      </c>
      <c r="AI64" s="24"/>
      <c r="AJ64" s="24"/>
      <c r="AK64" s="24"/>
      <c r="AL64" s="24"/>
      <c r="AM64" s="24"/>
      <c r="AN64" s="24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35">
        <v>12</v>
      </c>
      <c r="BQ64" s="35"/>
      <c r="BR64" s="35"/>
      <c r="BS64" s="35"/>
      <c r="BT64" s="35"/>
      <c r="BU64" s="35"/>
      <c r="BV64" s="35"/>
      <c r="BW64" s="35"/>
      <c r="BX64" s="35"/>
      <c r="BY64" s="35">
        <v>5</v>
      </c>
      <c r="BZ64" s="35"/>
      <c r="CA64" s="35"/>
      <c r="CB64" s="35"/>
      <c r="CC64" s="35"/>
      <c r="CD64" s="35"/>
      <c r="CE64" s="35">
        <v>5</v>
      </c>
      <c r="CF64" s="35"/>
      <c r="CG64" s="35"/>
      <c r="CH64" s="35"/>
      <c r="CI64" s="35"/>
      <c r="CJ64" s="35"/>
      <c r="CK64" s="35"/>
      <c r="CL64" s="35"/>
      <c r="CM64" s="25">
        <f t="shared" si="15"/>
        <v>0</v>
      </c>
      <c r="CN64" s="25">
        <f t="shared" si="16"/>
        <v>0</v>
      </c>
      <c r="CO64" s="25">
        <f t="shared" si="17"/>
        <v>0</v>
      </c>
      <c r="CP64" s="25">
        <f t="shared" si="18"/>
        <v>0</v>
      </c>
      <c r="CQ64" s="25"/>
      <c r="CR64" s="56"/>
      <c r="CS64" s="24"/>
      <c r="CT64" s="24"/>
      <c r="CU64" s="24"/>
      <c r="CV64" s="27"/>
      <c r="CW64" s="49">
        <v>7</v>
      </c>
      <c r="CX64" s="49">
        <v>5</v>
      </c>
      <c r="CY64" s="52"/>
      <c r="CZ64" s="53">
        <f>(((POWER(CZ53,CW64))*POWER(2.718,-CZ53))/FACT(CW64))</f>
        <v>1.4313183382699045E-4</v>
      </c>
      <c r="DA64" s="53">
        <f>(((POWER(CZ54,CX64))*POWER(2.718,-CZ54))/FACT(CX64))</f>
        <v>7.3016188605406165E-2</v>
      </c>
      <c r="DB64" s="54">
        <f t="shared" si="19"/>
        <v>1.0450940974149189E-5</v>
      </c>
      <c r="DC64" s="52" t="str">
        <f t="shared" si="20"/>
        <v/>
      </c>
      <c r="DD64" s="27"/>
      <c r="DE64" s="60"/>
      <c r="DF64" s="37">
        <v>5</v>
      </c>
      <c r="DG64" s="38">
        <f>CZ72</f>
        <v>4.7923605076001276E-3</v>
      </c>
      <c r="DH64" s="37">
        <v>5</v>
      </c>
      <c r="DI64" s="55">
        <f t="shared" si="21"/>
        <v>7.3016188605406165E-2</v>
      </c>
      <c r="DJ64" s="24"/>
      <c r="DK64" s="24"/>
      <c r="DL64" s="24"/>
      <c r="DM64" s="24"/>
      <c r="DN64" s="24"/>
      <c r="DO64" s="252"/>
      <c r="DP64" s="252"/>
      <c r="DQ64" s="252"/>
      <c r="DR64" s="252"/>
      <c r="DS64" s="252"/>
      <c r="DT64" s="252"/>
      <c r="DU64" s="252"/>
      <c r="DV64" s="252"/>
      <c r="DW64" s="252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</row>
    <row r="65" spans="1:166">
      <c r="A65" s="24"/>
      <c r="B65" s="24"/>
      <c r="C65" s="24"/>
      <c r="D65" s="24"/>
      <c r="E65" s="24"/>
      <c r="F65" s="43"/>
      <c r="G65" s="43"/>
      <c r="H65" s="24"/>
      <c r="I65" s="24"/>
      <c r="J65" s="43"/>
      <c r="K65" s="43"/>
      <c r="L65" s="24"/>
      <c r="M65" s="24"/>
      <c r="N65" s="24">
        <f>IF(SUM(R66:S66)&gt;L62,1,0)</f>
        <v>1</v>
      </c>
      <c r="O65" s="24"/>
      <c r="P65" s="24">
        <f>DATA!C16</f>
        <v>3</v>
      </c>
      <c r="Q65" s="24" t="str">
        <f>DATA!D16</f>
        <v>Команда 2</v>
      </c>
      <c r="R65" s="24">
        <f>VALUE(LEFT(DATA!E16,FIND(":",DATA!E16,1)-1))</f>
        <v>4</v>
      </c>
      <c r="S65" s="24">
        <f>VALUE(LEFT(RIGHT(DATA!E16,LEN(DATA!E16)-FIND(":",DATA!E16,1)),4))</f>
        <v>1</v>
      </c>
      <c r="T65" s="24" t="str">
        <f>IF(P65=DATA!$K$1,"Дома","В гостях")</f>
        <v>В гостях</v>
      </c>
      <c r="U65" s="24" t="str">
        <f t="shared" si="22"/>
        <v>П</v>
      </c>
      <c r="V65" s="24">
        <f t="shared" si="23"/>
        <v>1</v>
      </c>
      <c r="W65" s="24">
        <f t="shared" si="24"/>
        <v>4</v>
      </c>
      <c r="X65" s="24">
        <f t="shared" si="25"/>
        <v>0</v>
      </c>
      <c r="Y65" s="24">
        <f t="shared" si="26"/>
        <v>1</v>
      </c>
      <c r="Z65" s="24">
        <f t="shared" si="27"/>
        <v>1</v>
      </c>
      <c r="AA65" s="24">
        <f t="shared" si="28"/>
        <v>1</v>
      </c>
      <c r="AB65" s="24">
        <f t="shared" si="28"/>
        <v>1</v>
      </c>
      <c r="AC65" s="24">
        <f t="shared" si="29"/>
        <v>1</v>
      </c>
      <c r="AD65" s="24">
        <f t="shared" si="30"/>
        <v>1</v>
      </c>
      <c r="AE65" s="24">
        <f t="shared" si="31"/>
        <v>0</v>
      </c>
      <c r="AF65" s="24">
        <f t="shared" si="31"/>
        <v>0.5</v>
      </c>
      <c r="AG65" s="24">
        <f t="shared" si="32"/>
        <v>0</v>
      </c>
      <c r="AH65" s="29">
        <f>IF(SUM(V63:W63)&gt;1.5,1,0)</f>
        <v>1</v>
      </c>
      <c r="AI65" s="24"/>
      <c r="AJ65" s="24"/>
      <c r="AK65" s="24"/>
      <c r="AL65" s="24"/>
      <c r="AM65" s="24"/>
      <c r="AN65" s="24"/>
      <c r="AO65" s="56"/>
      <c r="AP65" s="241"/>
      <c r="AQ65" s="241"/>
      <c r="AR65" s="241"/>
      <c r="AS65" s="45" t="s">
        <v>64</v>
      </c>
      <c r="AT65" s="45"/>
      <c r="AU65" s="45"/>
      <c r="AV65" s="45"/>
      <c r="AW65" s="45"/>
      <c r="AX65" s="56"/>
      <c r="AY65" s="243" t="s">
        <v>69</v>
      </c>
      <c r="AZ65" s="243"/>
      <c r="BA65" s="243"/>
      <c r="BB65" s="39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35">
        <v>13</v>
      </c>
      <c r="BQ65" s="35"/>
      <c r="BR65" s="35"/>
      <c r="BS65" s="35"/>
      <c r="BT65" s="35"/>
      <c r="BU65" s="35"/>
      <c r="BV65" s="35"/>
      <c r="BW65" s="35"/>
      <c r="BX65" s="35"/>
      <c r="BY65" s="35">
        <v>5</v>
      </c>
      <c r="BZ65" s="35"/>
      <c r="CA65" s="35"/>
      <c r="CB65" s="35"/>
      <c r="CC65" s="35"/>
      <c r="CD65" s="35"/>
      <c r="CE65" s="35">
        <v>5</v>
      </c>
      <c r="CF65" s="35"/>
      <c r="CG65" s="35"/>
      <c r="CH65" s="35"/>
      <c r="CI65" s="35"/>
      <c r="CJ65" s="35"/>
      <c r="CK65" s="35"/>
      <c r="CL65" s="35"/>
      <c r="CM65" s="25">
        <f t="shared" si="15"/>
        <v>0</v>
      </c>
      <c r="CN65" s="25">
        <f t="shared" si="16"/>
        <v>0</v>
      </c>
      <c r="CO65" s="25">
        <f t="shared" si="17"/>
        <v>0</v>
      </c>
      <c r="CP65" s="25">
        <f t="shared" si="18"/>
        <v>0</v>
      </c>
      <c r="CQ65" s="25"/>
      <c r="CR65" s="56"/>
      <c r="CS65" s="24"/>
      <c r="CT65" s="24"/>
      <c r="CU65" s="24"/>
      <c r="CV65" s="27"/>
      <c r="CW65" s="49">
        <v>7</v>
      </c>
      <c r="CX65" s="49">
        <v>6</v>
      </c>
      <c r="CY65" s="52"/>
      <c r="CZ65" s="53">
        <f>(((POWER(CZ53,CW65))*POWER(2.718,-CZ53))/FACT(CW65))</f>
        <v>1.4313183382699045E-4</v>
      </c>
      <c r="DA65" s="53">
        <f>(((POWER(CZ54,CX65))*POWER(2.718,-CZ54))/FACT(CX65))</f>
        <v>3.1542993477535461E-2</v>
      </c>
      <c r="DB65" s="54">
        <f t="shared" si="19"/>
        <v>4.5148065008324494E-6</v>
      </c>
      <c r="DC65" s="52" t="str">
        <f t="shared" si="20"/>
        <v/>
      </c>
      <c r="DD65" s="27"/>
      <c r="DE65" s="27"/>
      <c r="DF65" s="37">
        <v>6</v>
      </c>
      <c r="DG65" s="38">
        <f>CZ68</f>
        <v>8.9457396141869039E-4</v>
      </c>
      <c r="DH65" s="37">
        <v>6</v>
      </c>
      <c r="DI65" s="55">
        <f t="shared" si="21"/>
        <v>3.1542993477535461E-2</v>
      </c>
      <c r="DJ65" s="24"/>
      <c r="DK65" s="24"/>
      <c r="DL65" s="24"/>
      <c r="DM65" s="24"/>
      <c r="DN65" s="24"/>
      <c r="DO65" s="252"/>
      <c r="DP65" s="254"/>
      <c r="DQ65" s="254"/>
      <c r="DR65" s="61" t="s">
        <v>70</v>
      </c>
      <c r="DS65" s="61" t="s">
        <v>71</v>
      </c>
      <c r="DT65" s="35" t="s">
        <v>72</v>
      </c>
      <c r="DU65" s="251" t="s">
        <v>73</v>
      </c>
      <c r="DV65" s="251"/>
      <c r="DW65" s="252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</row>
    <row r="66" spans="1:166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>
        <f>IF(SUM(R67:S67)&gt;L62,1,0)</f>
        <v>1</v>
      </c>
      <c r="O66" s="24"/>
      <c r="P66" s="24">
        <f>DATA!C17</f>
        <v>4</v>
      </c>
      <c r="Q66" s="24" t="str">
        <f>DATA!D17</f>
        <v>Команда 2</v>
      </c>
      <c r="R66" s="24">
        <f>VALUE(LEFT(DATA!E17,FIND(":",DATA!E17,1)-1))</f>
        <v>1</v>
      </c>
      <c r="S66" s="24">
        <f>VALUE(LEFT(RIGHT(DATA!E17,LEN(DATA!E17)-FIND(":",DATA!E17,1)),4))</f>
        <v>4</v>
      </c>
      <c r="T66" s="24" t="str">
        <f>IF(P66=DATA!$K$1,"Дома","В гостях")</f>
        <v>В гостях</v>
      </c>
      <c r="U66" s="24" t="str">
        <f t="shared" si="22"/>
        <v>В</v>
      </c>
      <c r="V66" s="24">
        <f t="shared" si="23"/>
        <v>4</v>
      </c>
      <c r="W66" s="24">
        <f t="shared" si="24"/>
        <v>1</v>
      </c>
      <c r="X66" s="24">
        <f t="shared" si="25"/>
        <v>1</v>
      </c>
      <c r="Y66" s="24">
        <f t="shared" si="26"/>
        <v>0</v>
      </c>
      <c r="Z66" s="24">
        <f t="shared" si="27"/>
        <v>1</v>
      </c>
      <c r="AA66" s="24">
        <f t="shared" si="28"/>
        <v>1</v>
      </c>
      <c r="AB66" s="24">
        <f t="shared" si="28"/>
        <v>1</v>
      </c>
      <c r="AC66" s="24">
        <f t="shared" si="29"/>
        <v>1</v>
      </c>
      <c r="AD66" s="24">
        <f t="shared" si="30"/>
        <v>1</v>
      </c>
      <c r="AE66" s="24">
        <f t="shared" si="31"/>
        <v>0.5</v>
      </c>
      <c r="AF66" s="24">
        <f t="shared" si="31"/>
        <v>0</v>
      </c>
      <c r="AG66" s="24">
        <f t="shared" si="32"/>
        <v>0</v>
      </c>
      <c r="AH66" s="29">
        <f>IF(SUM(V74:V76)&gt;1.5,1,0)</f>
        <v>1</v>
      </c>
      <c r="AI66" s="24"/>
      <c r="AJ66" s="24"/>
      <c r="AK66" s="24"/>
      <c r="AL66" s="24"/>
      <c r="AM66" s="24"/>
      <c r="AN66" s="24"/>
      <c r="AO66" s="56"/>
      <c r="AP66" s="246" t="s">
        <v>65</v>
      </c>
      <c r="AQ66" s="246"/>
      <c r="AR66" s="33">
        <v>1</v>
      </c>
      <c r="AS66" s="46">
        <f>(((POWER(AR57,AR66))*POWER(2.718,-AR57))/FACT(AR66))</f>
        <v>0.36547580889758841</v>
      </c>
      <c r="AT66" s="46"/>
      <c r="AU66" s="46"/>
      <c r="AV66" s="46"/>
      <c r="AW66" s="46"/>
      <c r="AX66" s="56"/>
      <c r="AY66" s="243"/>
      <c r="AZ66" s="243"/>
      <c r="BA66" s="243"/>
      <c r="BB66" s="39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35">
        <v>14</v>
      </c>
      <c r="BQ66" s="35"/>
      <c r="BR66" s="35"/>
      <c r="BS66" s="35"/>
      <c r="BT66" s="35"/>
      <c r="BU66" s="35"/>
      <c r="BV66" s="35"/>
      <c r="BW66" s="35"/>
      <c r="BX66" s="35"/>
      <c r="BY66" s="35">
        <v>5</v>
      </c>
      <c r="BZ66" s="35"/>
      <c r="CA66" s="35"/>
      <c r="CB66" s="35"/>
      <c r="CC66" s="35"/>
      <c r="CD66" s="35"/>
      <c r="CE66" s="35">
        <v>5</v>
      </c>
      <c r="CF66" s="35"/>
      <c r="CG66" s="35"/>
      <c r="CH66" s="35"/>
      <c r="CI66" s="35"/>
      <c r="CJ66" s="35"/>
      <c r="CK66" s="35"/>
      <c r="CL66" s="35"/>
      <c r="CM66" s="25">
        <f t="shared" si="15"/>
        <v>0</v>
      </c>
      <c r="CN66" s="25">
        <f t="shared" si="16"/>
        <v>0</v>
      </c>
      <c r="CO66" s="25">
        <f t="shared" si="17"/>
        <v>0</v>
      </c>
      <c r="CP66" s="25">
        <f t="shared" si="18"/>
        <v>0</v>
      </c>
      <c r="CQ66" s="25"/>
      <c r="CR66" s="56"/>
      <c r="CS66" s="24"/>
      <c r="CT66" s="24"/>
      <c r="CU66" s="24"/>
      <c r="CV66" s="27"/>
      <c r="CW66" s="49">
        <v>6</v>
      </c>
      <c r="CX66" s="49">
        <v>0</v>
      </c>
      <c r="CY66" s="52"/>
      <c r="CZ66" s="53">
        <f>(((POWER(CZ53,CW66))*POWER(2.718,-CZ53))/FACT(CW66))</f>
        <v>8.9457396141869039E-4</v>
      </c>
      <c r="DA66" s="53">
        <f>(((POWER(CZ54,CX66))*POWER(2.718,-CZ54))/FACT(CX66))</f>
        <v>7.4890273974438815E-2</v>
      </c>
      <c r="DB66" s="54">
        <f t="shared" si="19"/>
        <v>6.6994889061044785E-5</v>
      </c>
      <c r="DC66" s="52" t="str">
        <f t="shared" si="20"/>
        <v/>
      </c>
      <c r="DD66" s="27"/>
      <c r="DE66" s="27"/>
      <c r="DF66" s="37">
        <v>7</v>
      </c>
      <c r="DG66" s="38">
        <f>CZ65</f>
        <v>1.4313183382699045E-4</v>
      </c>
      <c r="DH66" s="37">
        <v>7</v>
      </c>
      <c r="DI66" s="55">
        <f>DA91</f>
        <v>1.1679919870538845E-2</v>
      </c>
      <c r="DJ66" s="24"/>
      <c r="DK66" s="24"/>
      <c r="DL66" s="24"/>
      <c r="DM66" s="24"/>
      <c r="DN66" s="24"/>
      <c r="DO66" s="252"/>
      <c r="DP66" s="251" t="str">
        <f>DQ75</f>
        <v>Каманда 1</v>
      </c>
      <c r="DQ66" s="251"/>
      <c r="DR66" s="35">
        <f>DU97</f>
        <v>12</v>
      </c>
      <c r="DS66" s="35">
        <f>DV97</f>
        <v>14</v>
      </c>
      <c r="DT66" s="25">
        <f>DZ91</f>
        <v>2</v>
      </c>
      <c r="DU66" s="251"/>
      <c r="DV66" s="251"/>
      <c r="DW66" s="252"/>
      <c r="DX66" s="24"/>
      <c r="DY66" s="24"/>
      <c r="DZ66" s="24" t="s">
        <v>74</v>
      </c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</row>
    <row r="67" spans="1:166">
      <c r="A67" s="24"/>
      <c r="B67" s="24"/>
      <c r="C67" s="24"/>
      <c r="D67" s="24"/>
      <c r="E67" s="24"/>
      <c r="F67" s="43"/>
      <c r="G67" s="24"/>
      <c r="H67" s="24"/>
      <c r="I67" s="24"/>
      <c r="J67" s="43"/>
      <c r="K67" s="24"/>
      <c r="L67" s="24"/>
      <c r="M67" s="24"/>
      <c r="N67" s="24">
        <f>IF(SUM(R68:S68)&gt;L62,1,0)</f>
        <v>1</v>
      </c>
      <c r="O67" s="24"/>
      <c r="P67" s="24">
        <f>DATA!C18</f>
        <v>5</v>
      </c>
      <c r="Q67" s="24" t="str">
        <f>DATA!D18</f>
        <v>Команда 2</v>
      </c>
      <c r="R67" s="24">
        <f>VALUE(LEFT(DATA!E18,FIND(":",DATA!E18,1)-1))</f>
        <v>4</v>
      </c>
      <c r="S67" s="24">
        <f>VALUE(LEFT(RIGHT(DATA!E18,LEN(DATA!E18)-FIND(":",DATA!E18,1)),4))</f>
        <v>1</v>
      </c>
      <c r="T67" s="24" t="str">
        <f>IF(P67=DATA!$K$1,"Дома","В гостях")</f>
        <v>В гостях</v>
      </c>
      <c r="U67" s="24" t="str">
        <f t="shared" si="22"/>
        <v>П</v>
      </c>
      <c r="V67" s="24">
        <f t="shared" si="23"/>
        <v>1</v>
      </c>
      <c r="W67" s="24">
        <f t="shared" si="24"/>
        <v>4</v>
      </c>
      <c r="X67" s="24">
        <f t="shared" si="25"/>
        <v>0</v>
      </c>
      <c r="Y67" s="24">
        <f t="shared" si="26"/>
        <v>1</v>
      </c>
      <c r="Z67" s="24">
        <f t="shared" si="27"/>
        <v>1</v>
      </c>
      <c r="AA67" s="24">
        <f t="shared" si="28"/>
        <v>1</v>
      </c>
      <c r="AB67" s="24">
        <f t="shared" si="28"/>
        <v>1</v>
      </c>
      <c r="AC67" s="24">
        <f t="shared" si="29"/>
        <v>1</v>
      </c>
      <c r="AD67" s="24">
        <f t="shared" si="30"/>
        <v>1</v>
      </c>
      <c r="AE67" s="24">
        <f t="shared" si="31"/>
        <v>0</v>
      </c>
      <c r="AF67" s="24">
        <f t="shared" si="31"/>
        <v>0.5</v>
      </c>
      <c r="AG67" s="24">
        <f t="shared" si="32"/>
        <v>0</v>
      </c>
      <c r="AH67" s="24"/>
      <c r="AI67" s="29"/>
      <c r="AJ67" s="24"/>
      <c r="AK67" s="24"/>
      <c r="AL67" s="24"/>
      <c r="AM67" s="24"/>
      <c r="AN67" s="24"/>
      <c r="AO67" s="56"/>
      <c r="AP67" s="246" t="s">
        <v>66</v>
      </c>
      <c r="AQ67" s="246"/>
      <c r="AR67" s="33">
        <v>0</v>
      </c>
      <c r="AS67" s="46">
        <f>(((POWER(AR58,AR67))*POWER(2.718,-AR58))/FACT(AR67))</f>
        <v>7.4890273974438815E-2</v>
      </c>
      <c r="AT67" s="46"/>
      <c r="AU67" s="46"/>
      <c r="AV67" s="46"/>
      <c r="AW67" s="46"/>
      <c r="AX67" s="56"/>
      <c r="AY67" s="253">
        <f>(AR54+AR55)/2</f>
        <v>2.7</v>
      </c>
      <c r="AZ67" s="253">
        <f>AT53</f>
        <v>4.8</v>
      </c>
      <c r="BA67" s="253">
        <f>AZ67/5</f>
        <v>0.96</v>
      </c>
      <c r="BB67" s="57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35">
        <v>15</v>
      </c>
      <c r="BQ67" s="35"/>
      <c r="BR67" s="35"/>
      <c r="BS67" s="35"/>
      <c r="BT67" s="35"/>
      <c r="BU67" s="35"/>
      <c r="BV67" s="35"/>
      <c r="BW67" s="35"/>
      <c r="BX67" s="35"/>
      <c r="BY67" s="35">
        <v>5</v>
      </c>
      <c r="BZ67" s="35"/>
      <c r="CA67" s="35"/>
      <c r="CB67" s="35"/>
      <c r="CC67" s="35"/>
      <c r="CD67" s="35"/>
      <c r="CE67" s="35">
        <v>5</v>
      </c>
      <c r="CF67" s="35"/>
      <c r="CG67" s="35"/>
      <c r="CH67" s="35"/>
      <c r="CI67" s="35"/>
      <c r="CJ67" s="35"/>
      <c r="CK67" s="35"/>
      <c r="CL67" s="35"/>
      <c r="CM67" s="25">
        <f t="shared" si="15"/>
        <v>0</v>
      </c>
      <c r="CN67" s="25">
        <f t="shared" si="16"/>
        <v>0</v>
      </c>
      <c r="CO67" s="25">
        <f t="shared" si="17"/>
        <v>0</v>
      </c>
      <c r="CP67" s="25">
        <f t="shared" si="18"/>
        <v>0</v>
      </c>
      <c r="CQ67" s="25"/>
      <c r="CR67" s="56"/>
      <c r="CS67" s="24"/>
      <c r="CT67" s="24"/>
      <c r="CU67" s="24"/>
      <c r="CV67" s="27"/>
      <c r="CW67" s="49">
        <v>6</v>
      </c>
      <c r="CX67" s="49">
        <v>1</v>
      </c>
      <c r="CY67" s="52"/>
      <c r="CZ67" s="53">
        <f>(((POWER(CZ53,CW67))*POWER(2.718,-CZ53))/FACT(CW67))</f>
        <v>8.9457396141869039E-4</v>
      </c>
      <c r="DA67" s="53">
        <f>(((POWER(CZ54,CX67))*POWER(2.718,-CZ54))/FACT(CX67))</f>
        <v>0.19411559014174543</v>
      </c>
      <c r="DB67" s="54">
        <f t="shared" si="19"/>
        <v>1.7365075244622809E-4</v>
      </c>
      <c r="DC67" s="52" t="str">
        <f t="shared" si="20"/>
        <v/>
      </c>
      <c r="DD67" s="27"/>
      <c r="DE67" s="27"/>
      <c r="DF67" s="27"/>
      <c r="DG67" s="24"/>
      <c r="DH67" s="24"/>
      <c r="DI67" s="24"/>
      <c r="DJ67" s="24"/>
      <c r="DK67" s="24"/>
      <c r="DL67" s="24"/>
      <c r="DM67" s="24"/>
      <c r="DN67" s="24"/>
      <c r="DO67" s="252"/>
      <c r="DP67" s="251" t="str">
        <f>DX75</f>
        <v>Команда 2</v>
      </c>
      <c r="DQ67" s="251"/>
      <c r="DR67" s="35">
        <f>DU104</f>
        <v>13</v>
      </c>
      <c r="DS67" s="35">
        <f>DV104</f>
        <v>16</v>
      </c>
      <c r="DT67" s="25">
        <f>DZ104</f>
        <v>4.8</v>
      </c>
      <c r="DU67" s="251"/>
      <c r="DV67" s="251"/>
      <c r="DW67" s="252"/>
      <c r="DX67" s="24"/>
      <c r="DY67" s="24"/>
      <c r="DZ67" s="24" t="s">
        <v>75</v>
      </c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  <c r="ES67" s="24"/>
      <c r="ET67" s="24"/>
      <c r="EU67" s="24"/>
      <c r="EV67" s="24"/>
      <c r="EW67" s="24"/>
      <c r="EX67" s="24"/>
      <c r="EY67" s="24"/>
      <c r="EZ67" s="24"/>
      <c r="FA67" s="24"/>
      <c r="FB67" s="24"/>
      <c r="FC67" s="24"/>
      <c r="FD67" s="24"/>
      <c r="FE67" s="24"/>
      <c r="FF67" s="24"/>
      <c r="FG67" s="24"/>
      <c r="FH67" s="24"/>
      <c r="FI67" s="24"/>
      <c r="FJ67" s="24"/>
    </row>
    <row r="68" spans="1:166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>
        <f>IF(SUM(R69:S69)&gt;L62,1,0)</f>
        <v>1</v>
      </c>
      <c r="O68" s="24"/>
      <c r="P68" s="24">
        <f>DATA!C19</f>
        <v>6</v>
      </c>
      <c r="Q68" s="24" t="str">
        <f>DATA!D19</f>
        <v>Команда 2</v>
      </c>
      <c r="R68" s="24">
        <f>VALUE(LEFT(DATA!E19,FIND(":",DATA!E19,1)-1))</f>
        <v>4</v>
      </c>
      <c r="S68" s="24">
        <f>VALUE(LEFT(RIGHT(DATA!E19,LEN(DATA!E19)-FIND(":",DATA!E19,1)),4))</f>
        <v>3</v>
      </c>
      <c r="T68" s="24" t="str">
        <f>IF(P68=DATA!$K$1,"Дома","В гостях")</f>
        <v>В гостях</v>
      </c>
      <c r="U68" s="24" t="str">
        <f t="shared" si="22"/>
        <v>П</v>
      </c>
      <c r="V68" s="24">
        <f t="shared" si="23"/>
        <v>3</v>
      </c>
      <c r="W68" s="24">
        <f t="shared" si="24"/>
        <v>4</v>
      </c>
      <c r="X68" s="24">
        <f t="shared" si="25"/>
        <v>0</v>
      </c>
      <c r="Y68" s="24">
        <f t="shared" si="26"/>
        <v>1</v>
      </c>
      <c r="Z68" s="24">
        <f t="shared" si="27"/>
        <v>1</v>
      </c>
      <c r="AA68" s="24">
        <f t="shared" si="28"/>
        <v>1</v>
      </c>
      <c r="AB68" s="24">
        <f t="shared" si="28"/>
        <v>1</v>
      </c>
      <c r="AC68" s="24">
        <f t="shared" si="29"/>
        <v>1</v>
      </c>
      <c r="AD68" s="24">
        <f t="shared" si="30"/>
        <v>1</v>
      </c>
      <c r="AE68" s="24">
        <f t="shared" si="31"/>
        <v>0.5</v>
      </c>
      <c r="AF68" s="24">
        <f t="shared" si="31"/>
        <v>0.5</v>
      </c>
      <c r="AG68" s="24">
        <f t="shared" si="32"/>
        <v>0</v>
      </c>
      <c r="AH68" s="24"/>
      <c r="AI68" s="24"/>
      <c r="AJ68" s="24"/>
      <c r="AK68" s="24"/>
      <c r="AL68" s="24"/>
      <c r="AM68" s="24"/>
      <c r="AN68" s="24"/>
      <c r="AO68" s="56"/>
      <c r="AP68" s="246" t="s">
        <v>67</v>
      </c>
      <c r="AQ68" s="246"/>
      <c r="AR68" s="45" t="str">
        <f>CONCATENATE(AR66,"-",AR67)</f>
        <v>1-0</v>
      </c>
      <c r="AS68" s="41">
        <f>AS66*AS67</f>
        <v>2.7370583459370039E-2</v>
      </c>
      <c r="AT68" s="41"/>
      <c r="AU68" s="41"/>
      <c r="AV68" s="41"/>
      <c r="AW68" s="45" t="str">
        <f>CONCATENATE("la quota è circa ",ROUNDUP(1/AS68,0)," a 1")</f>
        <v>la quota è circa 37 a 1</v>
      </c>
      <c r="AX68" s="56"/>
      <c r="AY68" s="253"/>
      <c r="AZ68" s="253"/>
      <c r="BA68" s="253"/>
      <c r="BB68" s="57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35">
        <v>16</v>
      </c>
      <c r="BQ68" s="35"/>
      <c r="BR68" s="35"/>
      <c r="BS68" s="35"/>
      <c r="BT68" s="35"/>
      <c r="BU68" s="35"/>
      <c r="BV68" s="35"/>
      <c r="BW68" s="35"/>
      <c r="BX68" s="35"/>
      <c r="BY68" s="35">
        <v>5</v>
      </c>
      <c r="BZ68" s="35"/>
      <c r="CA68" s="35"/>
      <c r="CB68" s="35"/>
      <c r="CC68" s="35"/>
      <c r="CD68" s="35"/>
      <c r="CE68" s="35">
        <v>5</v>
      </c>
      <c r="CF68" s="35"/>
      <c r="CG68" s="35"/>
      <c r="CH68" s="35"/>
      <c r="CI68" s="35"/>
      <c r="CJ68" s="35"/>
      <c r="CK68" s="35"/>
      <c r="CL68" s="35"/>
      <c r="CM68" s="25">
        <f t="shared" si="15"/>
        <v>0</v>
      </c>
      <c r="CN68" s="25">
        <f t="shared" si="16"/>
        <v>0</v>
      </c>
      <c r="CO68" s="25">
        <f t="shared" si="17"/>
        <v>0</v>
      </c>
      <c r="CP68" s="25">
        <f t="shared" si="18"/>
        <v>0</v>
      </c>
      <c r="CQ68" s="25"/>
      <c r="CR68" s="56"/>
      <c r="CS68" s="24"/>
      <c r="CT68" s="24"/>
      <c r="CU68" s="24"/>
      <c r="CV68" s="27"/>
      <c r="CW68" s="49">
        <v>6</v>
      </c>
      <c r="CX68" s="49">
        <v>2</v>
      </c>
      <c r="CY68" s="52"/>
      <c r="CZ68" s="53">
        <f>(((POWER(CZ53,CW68))*POWER(2.718,-CZ53))/FACT(CW68))</f>
        <v>8.9457396141869039E-4</v>
      </c>
      <c r="DA68" s="53">
        <f>(((POWER(CZ54,CX68))*POWER(2.718,-CZ54))/FACT(CX68))</f>
        <v>0.25157380482370206</v>
      </c>
      <c r="DB68" s="54">
        <f t="shared" si="19"/>
        <v>2.250513751703116E-4</v>
      </c>
      <c r="DC68" s="52" t="str">
        <f t="shared" si="20"/>
        <v/>
      </c>
      <c r="DD68" s="27"/>
      <c r="DE68" s="27"/>
      <c r="DF68" s="27"/>
      <c r="DG68" s="24"/>
      <c r="DH68" s="24"/>
      <c r="DI68" s="24"/>
      <c r="DJ68" s="24"/>
      <c r="DK68" s="24"/>
      <c r="DL68" s="24"/>
      <c r="DM68" s="24"/>
      <c r="DN68" s="24"/>
      <c r="DO68" s="252"/>
      <c r="DP68" s="252"/>
      <c r="DQ68" s="252"/>
      <c r="DR68" s="252"/>
      <c r="DS68" s="252"/>
      <c r="DT68" s="252"/>
      <c r="DU68" s="252"/>
      <c r="DV68" s="252"/>
      <c r="DW68" s="252"/>
      <c r="DX68" s="24"/>
      <c r="DY68" s="24"/>
      <c r="DZ68" s="24" t="s">
        <v>76</v>
      </c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  <c r="FC68" s="24"/>
      <c r="FD68" s="24"/>
      <c r="FE68" s="24"/>
      <c r="FF68" s="24"/>
      <c r="FG68" s="24"/>
      <c r="FH68" s="24"/>
      <c r="FI68" s="24"/>
      <c r="FJ68" s="24"/>
    </row>
    <row r="69" spans="1:166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>
        <f>IF(SUM(R70:S70)&gt;L62,1,0)</f>
        <v>1</v>
      </c>
      <c r="O69" s="24"/>
      <c r="P69" s="24">
        <f>DATA!C20</f>
        <v>7</v>
      </c>
      <c r="Q69" s="24" t="str">
        <f>DATA!D20</f>
        <v>Команда 2</v>
      </c>
      <c r="R69" s="24">
        <f>VALUE(LEFT(DATA!E20,FIND(":",DATA!E20,1)-1))</f>
        <v>6</v>
      </c>
      <c r="S69" s="24">
        <f>VALUE(LEFT(RIGHT(DATA!E20,LEN(DATA!E20)-FIND(":",DATA!E20,1)),4))</f>
        <v>0</v>
      </c>
      <c r="T69" s="24" t="str">
        <f>IF(P69=DATA!$K$1,"Дома","В гостях")</f>
        <v>В гостях</v>
      </c>
      <c r="U69" s="24" t="str">
        <f t="shared" si="22"/>
        <v>П</v>
      </c>
      <c r="V69" s="24">
        <f t="shared" si="23"/>
        <v>0</v>
      </c>
      <c r="W69" s="24">
        <f t="shared" si="24"/>
        <v>6</v>
      </c>
      <c r="X69" s="24">
        <f t="shared" si="25"/>
        <v>0</v>
      </c>
      <c r="Y69" s="24">
        <f t="shared" si="26"/>
        <v>1</v>
      </c>
      <c r="Z69" s="24">
        <f t="shared" si="27"/>
        <v>1</v>
      </c>
      <c r="AA69" s="24"/>
      <c r="AB69" s="24"/>
      <c r="AC69" s="24">
        <f>SUM(AC63:AC68)</f>
        <v>6</v>
      </c>
      <c r="AD69" s="24">
        <f>SUM(AD63:AD68)</f>
        <v>6</v>
      </c>
      <c r="AE69" s="24">
        <f>SUM(AE63:AE68)</f>
        <v>1.5</v>
      </c>
      <c r="AF69" s="24">
        <f>SUM(AF63:AF68)</f>
        <v>2</v>
      </c>
      <c r="AG69" s="24">
        <f>SUM(AG63:AG68)</f>
        <v>0</v>
      </c>
      <c r="AH69" s="24"/>
      <c r="AI69" s="24"/>
      <c r="AJ69" s="24"/>
      <c r="AK69" s="24"/>
      <c r="AL69" s="24"/>
      <c r="AM69" s="24"/>
      <c r="AN69" s="24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253"/>
      <c r="AZ69" s="253"/>
      <c r="BA69" s="253"/>
      <c r="BB69" s="57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35">
        <v>17</v>
      </c>
      <c r="BQ69" s="35"/>
      <c r="BR69" s="35"/>
      <c r="BS69" s="35"/>
      <c r="BT69" s="35"/>
      <c r="BU69" s="35"/>
      <c r="BV69" s="35"/>
      <c r="BW69" s="35"/>
      <c r="BX69" s="35"/>
      <c r="BY69" s="35">
        <v>5</v>
      </c>
      <c r="BZ69" s="35"/>
      <c r="CA69" s="35"/>
      <c r="CB69" s="35"/>
      <c r="CC69" s="35"/>
      <c r="CD69" s="35"/>
      <c r="CE69" s="35">
        <v>5</v>
      </c>
      <c r="CF69" s="35"/>
      <c r="CG69" s="35"/>
      <c r="CH69" s="35"/>
      <c r="CI69" s="35"/>
      <c r="CJ69" s="35"/>
      <c r="CK69" s="35"/>
      <c r="CL69" s="35"/>
      <c r="CM69" s="25">
        <f t="shared" si="15"/>
        <v>0</v>
      </c>
      <c r="CN69" s="25">
        <f t="shared" si="16"/>
        <v>0</v>
      </c>
      <c r="CO69" s="25">
        <f t="shared" si="17"/>
        <v>0</v>
      </c>
      <c r="CP69" s="25">
        <f t="shared" si="18"/>
        <v>0</v>
      </c>
      <c r="CQ69" s="25"/>
      <c r="CR69" s="56"/>
      <c r="CS69" s="24"/>
      <c r="CT69" s="24"/>
      <c r="CU69" s="24"/>
      <c r="CV69" s="27"/>
      <c r="CW69" s="49">
        <v>6</v>
      </c>
      <c r="CX69" s="49">
        <v>3</v>
      </c>
      <c r="CY69" s="52"/>
      <c r="CZ69" s="53">
        <f>(((POWER(CZ53,CW69))*POWER(2.718,-CZ53))/FACT(CW69))</f>
        <v>8.9457396141869039E-4</v>
      </c>
      <c r="DA69" s="53">
        <f>(((POWER(CZ54,CX69))*POWER(2.718,-CZ54))/FACT(CX69))</f>
        <v>0.21735976736767859</v>
      </c>
      <c r="DB69" s="54">
        <f t="shared" si="19"/>
        <v>1.9444438814714924E-4</v>
      </c>
      <c r="DC69" s="52" t="str">
        <f t="shared" si="20"/>
        <v/>
      </c>
      <c r="DD69" s="27"/>
      <c r="DE69" s="27"/>
      <c r="DF69" s="244"/>
      <c r="DG69" s="244"/>
      <c r="DH69" s="244"/>
      <c r="DI69" s="24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  <c r="FC69" s="24"/>
      <c r="FD69" s="24"/>
      <c r="FE69" s="24"/>
      <c r="FF69" s="24"/>
      <c r="FG69" s="24"/>
      <c r="FH69" s="24"/>
      <c r="FI69" s="24"/>
      <c r="FJ69" s="24"/>
    </row>
    <row r="70" spans="1:166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>
        <f>IF(SUM(R71:S71)&gt;L62,1,0)</f>
        <v>0</v>
      </c>
      <c r="O70" s="24"/>
      <c r="P70" s="24">
        <f>DATA!C21</f>
        <v>8</v>
      </c>
      <c r="Q70" s="24" t="str">
        <f>DATA!D21</f>
        <v>Команда 2</v>
      </c>
      <c r="R70" s="24">
        <f>VALUE(LEFT(DATA!E21,FIND(":",DATA!E21,1)-1))</f>
        <v>4</v>
      </c>
      <c r="S70" s="24">
        <f>VALUE(LEFT(RIGHT(DATA!E21,LEN(DATA!E21)-FIND(":",DATA!E21,1)),4))</f>
        <v>1</v>
      </c>
      <c r="T70" s="24" t="str">
        <f>IF(P70=DATA!$K$1,"Дома","В гостях")</f>
        <v>В гостях</v>
      </c>
      <c r="U70" s="24" t="str">
        <f t="shared" si="22"/>
        <v>П</v>
      </c>
      <c r="V70" s="24">
        <f t="shared" si="23"/>
        <v>1</v>
      </c>
      <c r="W70" s="24">
        <f t="shared" si="24"/>
        <v>4</v>
      </c>
      <c r="X70" s="24">
        <f t="shared" si="25"/>
        <v>0</v>
      </c>
      <c r="Y70" s="24">
        <f t="shared" si="26"/>
        <v>1</v>
      </c>
      <c r="Z70" s="24">
        <f t="shared" si="27"/>
        <v>1</v>
      </c>
      <c r="AA70" s="24"/>
      <c r="AB70" s="24"/>
      <c r="AC70" s="24" t="s">
        <v>77</v>
      </c>
      <c r="AD70" s="24" t="s">
        <v>78</v>
      </c>
      <c r="AE70" s="24" t="s">
        <v>79</v>
      </c>
      <c r="AF70" s="24" t="s">
        <v>80</v>
      </c>
      <c r="AG70" s="24" t="s">
        <v>81</v>
      </c>
      <c r="AH70" s="24"/>
      <c r="AI70" s="24"/>
      <c r="AJ70" s="24"/>
      <c r="AK70" s="24"/>
      <c r="AL70" s="24"/>
      <c r="AM70" s="24"/>
      <c r="AN70" s="24"/>
      <c r="AO70" s="56"/>
      <c r="AP70" s="241"/>
      <c r="AQ70" s="241"/>
      <c r="AR70" s="241"/>
      <c r="AS70" s="45" t="s">
        <v>64</v>
      </c>
      <c r="AT70" s="45"/>
      <c r="AU70" s="45"/>
      <c r="AV70" s="45"/>
      <c r="AW70" s="45"/>
      <c r="AX70" s="56"/>
      <c r="AY70" s="56"/>
      <c r="AZ70" s="56" t="s">
        <v>63</v>
      </c>
      <c r="BA70" s="56"/>
      <c r="BB70" s="5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35">
        <v>18</v>
      </c>
      <c r="BQ70" s="35"/>
      <c r="BR70" s="35"/>
      <c r="BS70" s="35"/>
      <c r="BT70" s="35"/>
      <c r="BU70" s="35"/>
      <c r="BV70" s="35"/>
      <c r="BW70" s="35"/>
      <c r="BX70" s="35"/>
      <c r="BY70" s="35">
        <v>5</v>
      </c>
      <c r="BZ70" s="35"/>
      <c r="CA70" s="35"/>
      <c r="CB70" s="35"/>
      <c r="CC70" s="35"/>
      <c r="CD70" s="35"/>
      <c r="CE70" s="35">
        <v>5</v>
      </c>
      <c r="CF70" s="35"/>
      <c r="CG70" s="35"/>
      <c r="CH70" s="35"/>
      <c r="CI70" s="35"/>
      <c r="CJ70" s="35"/>
      <c r="CK70" s="35"/>
      <c r="CL70" s="35"/>
      <c r="CM70" s="25">
        <f t="shared" si="15"/>
        <v>0</v>
      </c>
      <c r="CN70" s="25">
        <f t="shared" si="16"/>
        <v>0</v>
      </c>
      <c r="CO70" s="25">
        <f t="shared" si="17"/>
        <v>0</v>
      </c>
      <c r="CP70" s="25">
        <f t="shared" si="18"/>
        <v>0</v>
      </c>
      <c r="CQ70" s="25"/>
      <c r="CR70" s="56"/>
      <c r="CS70" s="24"/>
      <c r="CT70" s="24"/>
      <c r="CU70" s="24"/>
      <c r="CV70" s="27"/>
      <c r="CW70" s="49">
        <v>6</v>
      </c>
      <c r="CX70" s="49">
        <v>4</v>
      </c>
      <c r="CY70" s="52"/>
      <c r="CZ70" s="53">
        <f>(((POWER(CZ53,CW70))*POWER(2.718,-CZ53))/FACT(CW70))</f>
        <v>8.9457396141869039E-4</v>
      </c>
      <c r="DA70" s="53">
        <f>(((POWER(CZ54,CX70))*POWER(2.718,-CZ54))/FACT(CX70))</f>
        <v>0.14084912925425572</v>
      </c>
      <c r="DB70" s="54">
        <f t="shared" si="19"/>
        <v>1.2599996351935269E-4</v>
      </c>
      <c r="DC70" s="52" t="str">
        <f t="shared" si="20"/>
        <v/>
      </c>
      <c r="DD70" s="27"/>
      <c r="DE70" s="27"/>
      <c r="DF70" s="37"/>
      <c r="DG70" s="62"/>
      <c r="DH70" s="37"/>
      <c r="DI70" s="63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  <c r="FC70" s="24"/>
      <c r="FD70" s="24"/>
      <c r="FE70" s="24"/>
      <c r="FF70" s="24"/>
      <c r="FG70" s="24"/>
      <c r="FH70" s="24"/>
      <c r="FI70" s="24"/>
      <c r="FJ70" s="24"/>
    </row>
    <row r="71" spans="1:166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>
        <f>SUM(N62:N71)</f>
        <v>8</v>
      </c>
      <c r="N71" s="24">
        <f>IF(SUM(R72:S72)&gt;L62,1,0)</f>
        <v>0</v>
      </c>
      <c r="O71" s="24"/>
      <c r="P71" s="24">
        <f>DATA!C22</f>
        <v>9</v>
      </c>
      <c r="Q71" s="24" t="str">
        <f>DATA!D22</f>
        <v>Команда 2</v>
      </c>
      <c r="R71" s="24">
        <f>VALUE(LEFT(DATA!E22,FIND(":",DATA!E22,1)-1))</f>
        <v>2</v>
      </c>
      <c r="S71" s="24">
        <f>VALUE(LEFT(RIGHT(DATA!E22,LEN(DATA!E22)-FIND(":",DATA!E22,1)),4))</f>
        <v>0</v>
      </c>
      <c r="T71" s="24" t="str">
        <f>IF(P71=DATA!$K$1,"Дома","В гостях")</f>
        <v>В гостях</v>
      </c>
      <c r="U71" s="24" t="str">
        <f t="shared" si="22"/>
        <v>П</v>
      </c>
      <c r="V71" s="24">
        <f t="shared" si="23"/>
        <v>0</v>
      </c>
      <c r="W71" s="24">
        <f t="shared" si="24"/>
        <v>2</v>
      </c>
      <c r="X71" s="24">
        <f t="shared" si="25"/>
        <v>0</v>
      </c>
      <c r="Y71" s="24">
        <f t="shared" si="26"/>
        <v>1</v>
      </c>
      <c r="Z71" s="24" t="str">
        <f t="shared" si="27"/>
        <v/>
      </c>
      <c r="AA71" s="24"/>
      <c r="AB71" s="24">
        <f>SUM(AC69:AG69)</f>
        <v>15.5</v>
      </c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56"/>
      <c r="AP71" s="246" t="s">
        <v>65</v>
      </c>
      <c r="AQ71" s="246"/>
      <c r="AR71" s="33">
        <v>2</v>
      </c>
      <c r="AS71" s="46">
        <f>(((POWER(AR57,AR71))*POWER(2.718,-AR57))/FACT(AR71))</f>
        <v>0.20466645298264949</v>
      </c>
      <c r="AT71" s="46"/>
      <c r="AU71" s="46"/>
      <c r="AV71" s="46"/>
      <c r="AW71" s="46"/>
      <c r="AX71" s="56"/>
      <c r="AY71" s="56"/>
      <c r="AZ71" s="56"/>
      <c r="BA71" s="56"/>
      <c r="BB71" s="5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35">
        <v>19</v>
      </c>
      <c r="BQ71" s="35"/>
      <c r="BR71" s="35"/>
      <c r="BS71" s="35"/>
      <c r="BT71" s="35"/>
      <c r="BU71" s="35"/>
      <c r="BV71" s="35"/>
      <c r="BW71" s="35"/>
      <c r="BX71" s="35"/>
      <c r="BY71" s="35">
        <v>5</v>
      </c>
      <c r="BZ71" s="35"/>
      <c r="CA71" s="35"/>
      <c r="CB71" s="35"/>
      <c r="CC71" s="35"/>
      <c r="CD71" s="35"/>
      <c r="CE71" s="35">
        <v>5</v>
      </c>
      <c r="CF71" s="35"/>
      <c r="CG71" s="35"/>
      <c r="CH71" s="35"/>
      <c r="CI71" s="35"/>
      <c r="CJ71" s="35"/>
      <c r="CK71" s="35"/>
      <c r="CL71" s="35"/>
      <c r="CM71" s="25">
        <f t="shared" si="15"/>
        <v>0</v>
      </c>
      <c r="CN71" s="25">
        <f t="shared" si="16"/>
        <v>0</v>
      </c>
      <c r="CO71" s="25">
        <f t="shared" si="17"/>
        <v>0</v>
      </c>
      <c r="CP71" s="25">
        <f t="shared" si="18"/>
        <v>0</v>
      </c>
      <c r="CQ71" s="25"/>
      <c r="CR71" s="56"/>
      <c r="CS71" s="24"/>
      <c r="CT71" s="24"/>
      <c r="CU71" s="24"/>
      <c r="CV71" s="27"/>
      <c r="CW71" s="49">
        <v>6</v>
      </c>
      <c r="CX71" s="49">
        <v>5</v>
      </c>
      <c r="CY71" s="52"/>
      <c r="CZ71" s="53">
        <f>(((POWER(CZ53,CW71))*POWER(2.718,-CZ53))/FACT(CW71))</f>
        <v>8.9457396141869039E-4</v>
      </c>
      <c r="DA71" s="53">
        <f>(((POWER(CZ54,CX71))*POWER(2.718,-CZ54))/FACT(CX71))</f>
        <v>7.3016188605406165E-2</v>
      </c>
      <c r="DB71" s="54">
        <f t="shared" si="19"/>
        <v>6.5318381088432431E-5</v>
      </c>
      <c r="DC71" s="52" t="str">
        <f t="shared" si="20"/>
        <v/>
      </c>
      <c r="DD71" s="27"/>
      <c r="DE71" s="27"/>
      <c r="DF71" s="37"/>
      <c r="DG71" s="62"/>
      <c r="DH71" s="37"/>
      <c r="DI71" s="63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/>
      <c r="DX71" s="24"/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  <c r="ES71" s="24"/>
      <c r="ET71" s="24"/>
      <c r="EU71" s="24"/>
      <c r="EV71" s="24"/>
      <c r="EW71" s="24"/>
      <c r="EX71" s="24"/>
      <c r="EY71" s="24"/>
      <c r="EZ71" s="24"/>
      <c r="FA71" s="24"/>
      <c r="FB71" s="24"/>
      <c r="FC71" s="24"/>
      <c r="FD71" s="24"/>
      <c r="FE71" s="24"/>
      <c r="FF71" s="24"/>
      <c r="FG71" s="24"/>
      <c r="FH71" s="24"/>
      <c r="FI71" s="24"/>
      <c r="FJ71" s="24"/>
    </row>
    <row r="72" spans="1:166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>
        <f>DATA!C23</f>
        <v>10</v>
      </c>
      <c r="Q72" s="24" t="str">
        <f>DATA!D23</f>
        <v>Команда 2</v>
      </c>
      <c r="R72" s="24">
        <f>VALUE(LEFT(DATA!E23,FIND(":",DATA!E23,1)-1))</f>
        <v>1</v>
      </c>
      <c r="S72" s="24">
        <f>VALUE(LEFT(RIGHT(DATA!E23,LEN(DATA!E23)-FIND(":",DATA!E23,1)),4))</f>
        <v>1</v>
      </c>
      <c r="T72" s="24" t="str">
        <f>IF(P72=DATA!$K$1,"Дома","В гостях")</f>
        <v>В гостях</v>
      </c>
      <c r="U72" s="24" t="str">
        <f t="shared" si="22"/>
        <v>Н</v>
      </c>
      <c r="V72" s="24">
        <f t="shared" si="23"/>
        <v>1</v>
      </c>
      <c r="W72" s="24">
        <f t="shared" si="24"/>
        <v>1</v>
      </c>
      <c r="X72" s="24">
        <f t="shared" si="25"/>
        <v>0</v>
      </c>
      <c r="Y72" s="24">
        <f t="shared" si="26"/>
        <v>0</v>
      </c>
      <c r="Z72" s="24" t="str">
        <f t="shared" si="27"/>
        <v/>
      </c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56"/>
      <c r="AP72" s="246" t="s">
        <v>66</v>
      </c>
      <c r="AQ72" s="246"/>
      <c r="AR72" s="33">
        <v>0</v>
      </c>
      <c r="AS72" s="46">
        <f>(((POWER(AR58,AR72))*POWER(2.718,-AR58))/FACT(AR72))</f>
        <v>7.4890273974438815E-2</v>
      </c>
      <c r="AT72" s="46"/>
      <c r="AU72" s="46"/>
      <c r="AV72" s="46"/>
      <c r="AW72" s="46"/>
      <c r="AX72" s="56"/>
      <c r="AY72" s="56"/>
      <c r="AZ72" s="56"/>
      <c r="BA72" s="56"/>
      <c r="BB72" s="5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35">
        <v>20</v>
      </c>
      <c r="BQ72" s="35"/>
      <c r="BR72" s="35"/>
      <c r="BS72" s="35"/>
      <c r="BT72" s="35"/>
      <c r="BU72" s="35"/>
      <c r="BV72" s="35"/>
      <c r="BW72" s="35"/>
      <c r="BX72" s="35"/>
      <c r="BY72" s="35">
        <v>5</v>
      </c>
      <c r="BZ72" s="35"/>
      <c r="CA72" s="35"/>
      <c r="CB72" s="35"/>
      <c r="CC72" s="35"/>
      <c r="CD72" s="35"/>
      <c r="CE72" s="35">
        <v>5</v>
      </c>
      <c r="CF72" s="35"/>
      <c r="CG72" s="35"/>
      <c r="CH72" s="35"/>
      <c r="CI72" s="35"/>
      <c r="CJ72" s="35"/>
      <c r="CK72" s="35"/>
      <c r="CL72" s="35"/>
      <c r="CM72" s="25">
        <f t="shared" si="15"/>
        <v>0</v>
      </c>
      <c r="CN72" s="25">
        <f t="shared" si="16"/>
        <v>0</v>
      </c>
      <c r="CO72" s="25">
        <f t="shared" si="17"/>
        <v>0</v>
      </c>
      <c r="CP72" s="25">
        <f t="shared" si="18"/>
        <v>0</v>
      </c>
      <c r="CQ72" s="25"/>
      <c r="CR72" s="56"/>
      <c r="CS72" s="24"/>
      <c r="CT72" s="24"/>
      <c r="CU72" s="24"/>
      <c r="CV72" s="27"/>
      <c r="CW72" s="49">
        <v>5</v>
      </c>
      <c r="CX72" s="49">
        <v>0</v>
      </c>
      <c r="CY72" s="52"/>
      <c r="CZ72" s="53">
        <f>(((POWER(CZ53,CW72))*POWER(2.718,-CZ53))/FACT(CW72))</f>
        <v>4.7923605076001276E-3</v>
      </c>
      <c r="DA72" s="53">
        <f>(((POWER(CZ54,CX72))*POWER(2.718,-CZ54))/FACT(CX72))</f>
        <v>7.4890273974438815E-2</v>
      </c>
      <c r="DB72" s="54">
        <f t="shared" si="19"/>
        <v>3.5890119139845423E-4</v>
      </c>
      <c r="DC72" s="52" t="str">
        <f t="shared" si="20"/>
        <v/>
      </c>
      <c r="DD72" s="27"/>
      <c r="DE72" s="27"/>
      <c r="DF72" s="37"/>
      <c r="DG72" s="62"/>
      <c r="DH72" s="37"/>
      <c r="DI72" s="63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>
        <v>1.2</v>
      </c>
      <c r="DW72" s="24" t="s">
        <v>82</v>
      </c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  <c r="ES72" s="24"/>
      <c r="ET72" s="24"/>
      <c r="EU72" s="24"/>
      <c r="EV72" s="24"/>
      <c r="EW72" s="24"/>
      <c r="EX72" s="24"/>
      <c r="EY72" s="24"/>
      <c r="EZ72" s="24"/>
      <c r="FA72" s="24"/>
      <c r="FB72" s="24"/>
      <c r="FC72" s="24"/>
      <c r="FD72" s="24"/>
      <c r="FE72" s="24"/>
      <c r="FF72" s="24"/>
      <c r="FG72" s="24"/>
      <c r="FH72" s="24"/>
      <c r="FI72" s="24"/>
      <c r="FJ72" s="24"/>
    </row>
    <row r="73" spans="1:166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64">
        <f>VALUE(REPLACE(AJ74,FIND(".",AJ74,1),1,","))</f>
        <v>2.5</v>
      </c>
      <c r="AC73" s="64">
        <f>VALUE(REPLACE(AJ75,FIND(".",AJ75,1),1,","))</f>
        <v>3.5</v>
      </c>
      <c r="AD73" s="64">
        <f>VALUE(REPLACE(AJ76,FIND(".",AJ76,1),1,","))</f>
        <v>2.5</v>
      </c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56"/>
      <c r="AP73" s="246" t="s">
        <v>67</v>
      </c>
      <c r="AQ73" s="246"/>
      <c r="AR73" s="45" t="str">
        <f>CONCATENATE(AR71,"-",AR72)</f>
        <v>2-0</v>
      </c>
      <c r="AS73" s="41">
        <f>AS71*AS72</f>
        <v>1.5327526737247221E-2</v>
      </c>
      <c r="AT73" s="41"/>
      <c r="AU73" s="41"/>
      <c r="AV73" s="41"/>
      <c r="AW73" s="45" t="str">
        <f>CONCATENATE("la quota è circa ",ROUNDUP(1/AS73,0)," a 1")</f>
        <v>la quota è circa 66 a 1</v>
      </c>
      <c r="AX73" s="56"/>
      <c r="AY73" s="56"/>
      <c r="AZ73" s="56"/>
      <c r="BA73" s="56"/>
      <c r="BB73" s="5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24"/>
      <c r="CT73" s="24"/>
      <c r="CU73" s="24"/>
      <c r="CV73" s="27"/>
      <c r="CW73" s="49">
        <v>5</v>
      </c>
      <c r="CX73" s="49">
        <v>1</v>
      </c>
      <c r="CY73" s="52"/>
      <c r="CZ73" s="53">
        <f>(((POWER(CZ53,CW73))*POWER(2.718,-CZ53))/FACT(CW73))</f>
        <v>4.7923605076001276E-3</v>
      </c>
      <c r="DA73" s="53">
        <f>(((POWER(CZ54,CX73))*POWER(2.718,-CZ54))/FACT(CX73))</f>
        <v>0.19411559014174543</v>
      </c>
      <c r="DB73" s="54">
        <f t="shared" si="19"/>
        <v>9.3027188810479347E-4</v>
      </c>
      <c r="DC73" s="52" t="str">
        <f t="shared" si="20"/>
        <v/>
      </c>
      <c r="DD73" s="27"/>
      <c r="DE73" s="27"/>
      <c r="DF73" s="37"/>
      <c r="DG73" s="62"/>
      <c r="DH73" s="37"/>
      <c r="DI73" s="63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>
        <v>1</v>
      </c>
      <c r="DW73" s="24" t="s">
        <v>83</v>
      </c>
      <c r="DX73" s="24"/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  <c r="ES73" s="24"/>
      <c r="ET73" s="24"/>
      <c r="EU73" s="24"/>
      <c r="EV73" s="24"/>
      <c r="EW73" s="24"/>
      <c r="EX73" s="24"/>
      <c r="EY73" s="24"/>
      <c r="EZ73" s="24"/>
      <c r="FA73" s="24"/>
      <c r="FB73" s="24"/>
      <c r="FC73" s="24"/>
      <c r="FD73" s="24"/>
      <c r="FE73" s="24"/>
      <c r="FF73" s="24"/>
      <c r="FG73" s="24"/>
      <c r="FH73" s="24"/>
      <c r="FI73" s="24"/>
      <c r="FJ73" s="24"/>
    </row>
    <row r="74" spans="1:166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>
        <f>IF(V63&gt;0.5,1,0)</f>
        <v>1</v>
      </c>
      <c r="W74" s="24"/>
      <c r="X74" s="24"/>
      <c r="Y74" s="24"/>
      <c r="Z74" s="24"/>
      <c r="AA74" s="24"/>
      <c r="AB74" s="24"/>
      <c r="AC74" s="24"/>
      <c r="AD74" s="24"/>
      <c r="AE74" s="24"/>
      <c r="AF74" s="65">
        <f>SUM(AB59,AB71,AE75:AE78)</f>
        <v>30.5</v>
      </c>
      <c r="AG74" s="24"/>
      <c r="AH74" s="24"/>
      <c r="AI74" s="24" t="s">
        <v>101</v>
      </c>
      <c r="AJ74" s="66" t="s">
        <v>260</v>
      </c>
      <c r="AK74" s="24"/>
      <c r="AL74" s="24"/>
      <c r="AM74" s="24"/>
      <c r="AN74" s="24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24"/>
      <c r="CT74" s="24"/>
      <c r="CU74" s="24"/>
      <c r="CV74" s="27"/>
      <c r="CW74" s="49">
        <v>5</v>
      </c>
      <c r="CX74" s="49">
        <v>2</v>
      </c>
      <c r="CY74" s="52"/>
      <c r="CZ74" s="53">
        <f>(((POWER(CZ53,CW74))*POWER(2.718,-CZ53))/FACT(CW74))</f>
        <v>4.7923605076001276E-3</v>
      </c>
      <c r="DA74" s="53">
        <f>(((POWER(CZ54,CX74))*POWER(2.718,-CZ54))/FACT(CX74))</f>
        <v>0.25157380482370206</v>
      </c>
      <c r="DB74" s="54">
        <f t="shared" si="19"/>
        <v>1.2056323669838121E-3</v>
      </c>
      <c r="DC74" s="52" t="str">
        <f t="shared" si="20"/>
        <v/>
      </c>
      <c r="DD74" s="27"/>
      <c r="DE74" s="27"/>
      <c r="DF74" s="37"/>
      <c r="DG74" s="62"/>
      <c r="DH74" s="37"/>
      <c r="DI74" s="63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>
        <v>0.8</v>
      </c>
      <c r="DW74" s="24" t="s">
        <v>84</v>
      </c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  <c r="FC74" s="24"/>
      <c r="FD74" s="24"/>
      <c r="FE74" s="24"/>
      <c r="FF74" s="24"/>
      <c r="FG74" s="24"/>
      <c r="FH74" s="24"/>
      <c r="FI74" s="24"/>
      <c r="FJ74" s="24"/>
    </row>
    <row r="75" spans="1:166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>
        <f>IF(V64&gt;0.5,1,0)</f>
        <v>1</v>
      </c>
      <c r="W75" s="24"/>
      <c r="X75" s="24"/>
      <c r="Y75" s="24"/>
      <c r="Z75" s="24"/>
      <c r="AA75" s="24" t="s">
        <v>85</v>
      </c>
      <c r="AB75" s="24"/>
      <c r="AC75" s="66" t="s">
        <v>280</v>
      </c>
      <c r="AD75" s="24" t="str">
        <f>IF(AC75&gt;0,AC75,"")</f>
        <v>=AB73-AD73</v>
      </c>
      <c r="AE75" s="24">
        <f>IF(AD75&lt;=1.8,2,0)</f>
        <v>0</v>
      </c>
      <c r="AF75" s="24"/>
      <c r="AG75" s="24"/>
      <c r="AH75" s="24"/>
      <c r="AI75" s="24" t="s">
        <v>100</v>
      </c>
      <c r="AJ75" s="66" t="s">
        <v>261</v>
      </c>
      <c r="AK75" s="24"/>
      <c r="AL75" s="24"/>
      <c r="AM75" s="24"/>
      <c r="AN75" s="24"/>
      <c r="AO75" s="56"/>
      <c r="AP75" s="241"/>
      <c r="AQ75" s="241"/>
      <c r="AR75" s="241"/>
      <c r="AS75" s="45" t="s">
        <v>64</v>
      </c>
      <c r="AT75" s="45"/>
      <c r="AU75" s="45"/>
      <c r="AV75" s="45"/>
      <c r="AW75" s="45"/>
      <c r="AX75" s="56"/>
      <c r="AY75" s="56"/>
      <c r="AZ75" s="56"/>
      <c r="BA75" s="56"/>
      <c r="BB75" s="5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24"/>
      <c r="CT75" s="24"/>
      <c r="CU75" s="24"/>
      <c r="CV75" s="27"/>
      <c r="CW75" s="49">
        <v>5</v>
      </c>
      <c r="CX75" s="49">
        <v>3</v>
      </c>
      <c r="CY75" s="52"/>
      <c r="CZ75" s="53">
        <f>(((POWER(CZ53,CW75))*POWER(2.718,-CZ53))/FACT(CW75))</f>
        <v>4.7923605076001276E-3</v>
      </c>
      <c r="DA75" s="53">
        <f>(((POWER(CZ54,CX75))*POWER(2.718,-CZ54))/FACT(CX75))</f>
        <v>0.21735976736767859</v>
      </c>
      <c r="DB75" s="54">
        <f t="shared" si="19"/>
        <v>1.0416663650740139E-3</v>
      </c>
      <c r="DC75" s="52" t="str">
        <f t="shared" si="20"/>
        <v/>
      </c>
      <c r="DD75" s="27"/>
      <c r="DE75" s="27"/>
      <c r="DF75" s="37"/>
      <c r="DG75" s="62"/>
      <c r="DH75" s="37"/>
      <c r="DI75" s="63"/>
      <c r="DJ75" s="24"/>
      <c r="DK75" s="24"/>
      <c r="DL75" s="24"/>
      <c r="DM75" s="24"/>
      <c r="DN75" s="24"/>
      <c r="DO75" s="24"/>
      <c r="DP75" s="24"/>
      <c r="DQ75" s="24" t="str">
        <f>IF(DQ78=DQ79,DQ78,IF(DQ78=DR79,DQ78,DR78))</f>
        <v>Каманда 1</v>
      </c>
      <c r="DR75" s="24"/>
      <c r="DS75" s="24"/>
      <c r="DT75" s="24"/>
      <c r="DU75" s="24"/>
      <c r="DV75" s="24"/>
      <c r="DW75" s="24"/>
      <c r="DX75" s="24" t="str">
        <f>IF(DY78=DY79,DY78,IF(DY78=DZ79,DY78,DZ78))</f>
        <v>Команда 2</v>
      </c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24"/>
      <c r="EU75" s="24"/>
      <c r="EV75" s="24"/>
      <c r="EW75" s="24"/>
      <c r="EX75" s="24"/>
      <c r="EY75" s="24"/>
      <c r="EZ75" s="24"/>
      <c r="FA75" s="24"/>
      <c r="FB75" s="24"/>
      <c r="FC75" s="24"/>
      <c r="FD75" s="24"/>
      <c r="FE75" s="24"/>
      <c r="FF75" s="24"/>
      <c r="FG75" s="24"/>
      <c r="FH75" s="24"/>
      <c r="FI75" s="24"/>
      <c r="FJ75" s="24"/>
    </row>
    <row r="76" spans="1:166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>
        <f>IF(V65&gt;0.5,1,0)</f>
        <v>1</v>
      </c>
      <c r="W76" s="24"/>
      <c r="X76" s="24"/>
      <c r="Y76" s="24"/>
      <c r="Z76" s="24"/>
      <c r="AA76" s="24" t="s">
        <v>86</v>
      </c>
      <c r="AB76" s="24"/>
      <c r="AC76" s="24">
        <f>AD73-AB73</f>
        <v>0</v>
      </c>
      <c r="AD76" s="24" t="str">
        <f>IF(AC76&gt;0,AC76,"")</f>
        <v/>
      </c>
      <c r="AE76" s="24">
        <f>IF(AD76&lt;=1.8,1,0)</f>
        <v>0</v>
      </c>
      <c r="AF76" s="24"/>
      <c r="AG76" s="24">
        <v>1</v>
      </c>
      <c r="AH76" s="24"/>
      <c r="AI76" s="24" t="s">
        <v>99</v>
      </c>
      <c r="AJ76" s="66" t="s">
        <v>260</v>
      </c>
      <c r="AK76" s="24"/>
      <c r="AL76" s="24"/>
      <c r="AM76" s="24"/>
      <c r="AN76" s="24"/>
      <c r="AO76" s="56"/>
      <c r="AP76" s="246" t="s">
        <v>65</v>
      </c>
      <c r="AQ76" s="246"/>
      <c r="AR76" s="33">
        <v>0</v>
      </c>
      <c r="AS76" s="46">
        <f>(((POWER(AR57,AR76))*POWER(2.718,-AR57))/FACT(AR76))</f>
        <v>0.32631768651570398</v>
      </c>
      <c r="AT76" s="46"/>
      <c r="AU76" s="46"/>
      <c r="AV76" s="46"/>
      <c r="AW76" s="46"/>
      <c r="AX76" s="56"/>
      <c r="AY76" s="56"/>
      <c r="AZ76" s="56"/>
      <c r="BA76" s="56"/>
      <c r="BB76" s="5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24"/>
      <c r="CT76" s="24"/>
      <c r="CU76" s="24"/>
      <c r="CV76" s="27"/>
      <c r="CW76" s="49">
        <v>5</v>
      </c>
      <c r="CX76" s="49">
        <v>4</v>
      </c>
      <c r="CY76" s="52"/>
      <c r="CZ76" s="53">
        <f>(((POWER(CZ53,CW76))*POWER(2.718,-CZ53))/FACT(CW76))</f>
        <v>4.7923605076001276E-3</v>
      </c>
      <c r="DA76" s="53">
        <f>(((POWER(CZ54,CX76))*POWER(2.718,-CZ54))/FACT(CX76))</f>
        <v>0.14084912925425572</v>
      </c>
      <c r="DB76" s="54">
        <f t="shared" si="19"/>
        <v>6.7499980456796089E-4</v>
      </c>
      <c r="DC76" s="52" t="str">
        <f t="shared" si="20"/>
        <v/>
      </c>
      <c r="DD76" s="27"/>
      <c r="DE76" s="27"/>
      <c r="DF76" s="37"/>
      <c r="DG76" s="62"/>
      <c r="DH76" s="37"/>
      <c r="DI76" s="63"/>
      <c r="DJ76" s="24"/>
      <c r="DK76" s="24"/>
      <c r="DL76" s="24"/>
      <c r="DM76" s="24"/>
      <c r="DN76" s="24"/>
      <c r="DO76" s="24" t="s">
        <v>87</v>
      </c>
      <c r="DP76" s="24"/>
      <c r="DQ76" s="24"/>
      <c r="DR76" s="24"/>
      <c r="DS76" s="24"/>
      <c r="DT76" s="24"/>
      <c r="DU76" s="24"/>
      <c r="DV76" s="24"/>
      <c r="DW76" s="24" t="s">
        <v>88</v>
      </c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  <c r="FC76" s="24"/>
      <c r="FD76" s="24"/>
      <c r="FE76" s="24"/>
      <c r="FF76" s="24"/>
      <c r="FG76" s="24"/>
      <c r="FH76" s="24"/>
      <c r="FI76" s="24"/>
      <c r="FJ76" s="24"/>
    </row>
    <row r="77" spans="1:166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 t="s">
        <v>89</v>
      </c>
      <c r="AB77" s="24"/>
      <c r="AC77" s="24">
        <f>IF(AC76&gt;0,AC76,0)</f>
        <v>0</v>
      </c>
      <c r="AD77" s="24" t="str">
        <f>IF(AC77&lt;2.5,"-1",0)</f>
        <v>-1</v>
      </c>
      <c r="AE77" s="24">
        <f>IF(AC77&gt;=2.5,-2,0)</f>
        <v>0</v>
      </c>
      <c r="AF77" s="24"/>
      <c r="AG77" s="24"/>
      <c r="AH77" s="24"/>
      <c r="AI77" s="24"/>
      <c r="AJ77" s="24"/>
      <c r="AK77" s="24"/>
      <c r="AL77" s="24"/>
      <c r="AM77" s="24"/>
      <c r="AN77" s="24"/>
      <c r="AO77" s="56"/>
      <c r="AP77" s="246" t="s">
        <v>66</v>
      </c>
      <c r="AQ77" s="246"/>
      <c r="AR77" s="33">
        <v>1</v>
      </c>
      <c r="AS77" s="46">
        <f>(((POWER(AR58,AR77))*POWER(2.718,-AR58))/FACT(AR77))</f>
        <v>0.19411559014174543</v>
      </c>
      <c r="AT77" s="46"/>
      <c r="AU77" s="46"/>
      <c r="AV77" s="46"/>
      <c r="AW77" s="46"/>
      <c r="AX77" s="56"/>
      <c r="AY77" s="56"/>
      <c r="AZ77" s="56"/>
      <c r="BA77" s="56"/>
      <c r="BB77" s="5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24"/>
      <c r="CT77" s="24"/>
      <c r="CU77" s="24"/>
      <c r="CV77" s="27"/>
      <c r="CW77" s="49">
        <v>4</v>
      </c>
      <c r="CX77" s="49">
        <v>0</v>
      </c>
      <c r="CY77" s="52"/>
      <c r="CZ77" s="53">
        <f>(((POWER(CZ53,CW77))*POWER(2.718,-CZ53))/FACT(CW77))</f>
        <v>2.1394466551786288E-2</v>
      </c>
      <c r="DA77" s="53">
        <f>(((POWER(CZ54,CX77))*POWER(2.718,-CZ54))/FACT(CX77))</f>
        <v>7.4890273974438815E-2</v>
      </c>
      <c r="DB77" s="54">
        <f t="shared" si="19"/>
        <v>1.6022374616002422E-3</v>
      </c>
      <c r="DC77" s="52" t="str">
        <f t="shared" si="20"/>
        <v/>
      </c>
      <c r="DD77" s="27"/>
      <c r="DE77" s="27"/>
      <c r="DF77" s="37"/>
      <c r="DG77" s="62"/>
      <c r="DH77" s="37"/>
      <c r="DI77" s="63"/>
      <c r="DJ77" s="24"/>
      <c r="DK77" s="24"/>
      <c r="DL77" s="24"/>
      <c r="DM77" s="24"/>
      <c r="DN77" s="24"/>
      <c r="DO77" s="67">
        <v>42768</v>
      </c>
      <c r="DP77" s="24" t="s">
        <v>90</v>
      </c>
      <c r="DQ77" s="24" t="s">
        <v>91</v>
      </c>
      <c r="DR77" s="24" t="s">
        <v>92</v>
      </c>
      <c r="DS77" s="68" t="s">
        <v>2</v>
      </c>
      <c r="DT77" s="24"/>
      <c r="DU77" s="24"/>
      <c r="DV77" s="24"/>
      <c r="DW77" s="67">
        <v>42768</v>
      </c>
      <c r="DX77" s="24" t="s">
        <v>90</v>
      </c>
      <c r="DY77" s="24" t="s">
        <v>91</v>
      </c>
      <c r="DZ77" s="24" t="s">
        <v>92</v>
      </c>
      <c r="EA77" s="68" t="s">
        <v>2</v>
      </c>
      <c r="EB77" s="24"/>
      <c r="EC77" s="24"/>
      <c r="ED77" s="24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24"/>
      <c r="EU77" s="24"/>
      <c r="EV77" s="24"/>
      <c r="EW77" s="24"/>
      <c r="EX77" s="24"/>
      <c r="EY77" s="24"/>
      <c r="EZ77" s="24"/>
      <c r="FA77" s="24"/>
      <c r="FB77" s="24"/>
      <c r="FC77" s="24"/>
      <c r="FD77" s="24"/>
      <c r="FE77" s="24"/>
      <c r="FF77" s="24"/>
      <c r="FG77" s="24"/>
      <c r="FH77" s="24"/>
      <c r="FI77" s="24"/>
      <c r="FJ77" s="24"/>
    </row>
    <row r="78" spans="1:166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 t="s">
        <v>93</v>
      </c>
      <c r="AB78" s="24"/>
      <c r="AC78" s="24" t="str">
        <f>IF(AC75&gt;0,AC75,0)</f>
        <v>=AB73-AD73</v>
      </c>
      <c r="AD78" s="24" t="str">
        <f>IF(AC78&lt;2.5,"-1","0")</f>
        <v>0</v>
      </c>
      <c r="AE78" s="24">
        <f>IF(AC78&gt;=2.5,-1,0)</f>
        <v>-1</v>
      </c>
      <c r="AF78" s="24"/>
      <c r="AG78" s="24"/>
      <c r="AH78" s="24"/>
      <c r="AI78" s="24"/>
      <c r="AJ78" s="24"/>
      <c r="AK78" s="24"/>
      <c r="AL78" s="24"/>
      <c r="AM78" s="24"/>
      <c r="AN78" s="24"/>
      <c r="AO78" s="56"/>
      <c r="AP78" s="246" t="s">
        <v>67</v>
      </c>
      <c r="AQ78" s="246"/>
      <c r="AR78" s="45" t="str">
        <f>CONCATENATE(AR76,"-",AR77)</f>
        <v>0-1</v>
      </c>
      <c r="AS78" s="41">
        <f>AS76*AS77</f>
        <v>6.3343350291684961E-2</v>
      </c>
      <c r="AT78" s="41"/>
      <c r="AU78" s="41"/>
      <c r="AV78" s="41"/>
      <c r="AW78" s="45" t="str">
        <f>CONCATENATE("la quota è circa ",ROUNDUP(1/AS78,0)," a 1")</f>
        <v>la quota è circa 16 a 1</v>
      </c>
      <c r="AX78" s="56"/>
      <c r="AY78" s="56"/>
      <c r="AZ78" s="56"/>
      <c r="BA78" s="56"/>
      <c r="BB78" s="5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24"/>
      <c r="CT78" s="24"/>
      <c r="CU78" s="24"/>
      <c r="CV78" s="27"/>
      <c r="CW78" s="49">
        <v>4</v>
      </c>
      <c r="CX78" s="49">
        <v>1</v>
      </c>
      <c r="CY78" s="52"/>
      <c r="CZ78" s="53">
        <f>(((POWER(CZ53,CW78))*POWER(2.718,-CZ53))/FACT(CW78))</f>
        <v>2.1394466551786288E-2</v>
      </c>
      <c r="DA78" s="53">
        <f>(((POWER(CZ54,CX78))*POWER(2.718,-CZ54))/FACT(CX78))</f>
        <v>0.19411559014174543</v>
      </c>
      <c r="DB78" s="54">
        <f t="shared" si="19"/>
        <v>4.1529995004678287E-3</v>
      </c>
      <c r="DC78" s="52" t="str">
        <f t="shared" si="20"/>
        <v/>
      </c>
      <c r="DD78" s="27"/>
      <c r="DE78" s="27"/>
      <c r="DF78" s="27"/>
      <c r="DG78" s="24"/>
      <c r="DH78" s="24"/>
      <c r="DI78" s="24"/>
      <c r="DJ78" s="24"/>
      <c r="DK78" s="24"/>
      <c r="DL78" s="24"/>
      <c r="DM78" s="24"/>
      <c r="DN78" s="24"/>
      <c r="DO78" s="67">
        <f>DATA!A2</f>
        <v>43391</v>
      </c>
      <c r="DP78" s="24" t="str">
        <f>DATA!B2</f>
        <v>CIS</v>
      </c>
      <c r="DQ78" s="24" t="str">
        <f>DATA!C2</f>
        <v>Каманда 1</v>
      </c>
      <c r="DR78" s="24">
        <f>DATA!D2</f>
        <v>1</v>
      </c>
      <c r="DS78" s="35" t="str">
        <f>DATA!E2</f>
        <v>1:1</v>
      </c>
      <c r="DT78" s="24"/>
      <c r="DU78" s="24"/>
      <c r="DV78" s="24"/>
      <c r="DW78" s="67">
        <f>DATA!A14</f>
        <v>43391</v>
      </c>
      <c r="DX78" s="67" t="str">
        <f>DATA!B14</f>
        <v>CIS</v>
      </c>
      <c r="DY78" s="67">
        <f>DATA!C14</f>
        <v>1</v>
      </c>
      <c r="DZ78" s="67" t="str">
        <f>DATA!D14</f>
        <v>Команда 2</v>
      </c>
      <c r="EA78" s="69" t="str">
        <f>DATA!E14</f>
        <v>5:5</v>
      </c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24"/>
      <c r="EU78" s="24"/>
      <c r="EV78" s="24"/>
      <c r="EW78" s="24"/>
      <c r="EX78" s="24"/>
      <c r="EY78" s="24"/>
      <c r="EZ78" s="24"/>
      <c r="FA78" s="24"/>
      <c r="FB78" s="24"/>
      <c r="FC78" s="24"/>
      <c r="FD78" s="24"/>
      <c r="FE78" s="24"/>
      <c r="FF78" s="24"/>
      <c r="FG78" s="24"/>
      <c r="FH78" s="24"/>
      <c r="FI78" s="24"/>
      <c r="FJ78" s="24"/>
    </row>
    <row r="79" spans="1:166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24"/>
      <c r="CT79" s="24"/>
      <c r="CU79" s="24"/>
      <c r="CV79" s="27"/>
      <c r="CW79" s="49">
        <v>4</v>
      </c>
      <c r="CX79" s="49">
        <v>2</v>
      </c>
      <c r="CY79" s="52"/>
      <c r="CZ79" s="53">
        <f>(((POWER(CZ53,CW79))*POWER(2.718,-CZ53))/FACT(CW79))</f>
        <v>2.1394466551786288E-2</v>
      </c>
      <c r="DA79" s="53">
        <f>(((POWER(CZ54,CX79))*POWER(2.718,-CZ54))/FACT(CX79))</f>
        <v>0.25157380482370206</v>
      </c>
      <c r="DB79" s="54">
        <f t="shared" si="19"/>
        <v>5.3822873526063056E-3</v>
      </c>
      <c r="DC79" s="52" t="str">
        <f t="shared" si="20"/>
        <v/>
      </c>
      <c r="DD79" s="27"/>
      <c r="DE79" s="27"/>
      <c r="DF79" s="27"/>
      <c r="DG79" s="24"/>
      <c r="DH79" s="24"/>
      <c r="DI79" s="24"/>
      <c r="DJ79" s="24"/>
      <c r="DK79" s="24"/>
      <c r="DL79" s="24"/>
      <c r="DM79" s="24"/>
      <c r="DN79" s="24"/>
      <c r="DO79" s="67">
        <f>DATA!A3</f>
        <v>43387</v>
      </c>
      <c r="DP79" s="24" t="str">
        <f>DATA!B3</f>
        <v>CIS</v>
      </c>
      <c r="DQ79" s="24" t="str">
        <f>DATA!C3</f>
        <v>Каманда 1</v>
      </c>
      <c r="DR79" s="24">
        <f>DATA!D3</f>
        <v>2</v>
      </c>
      <c r="DS79" s="35" t="str">
        <f>DATA!E3</f>
        <v>3:3</v>
      </c>
      <c r="DT79" s="24"/>
      <c r="DU79" s="24"/>
      <c r="DV79" s="24"/>
      <c r="DW79" s="67">
        <f>DATA!A15</f>
        <v>43386</v>
      </c>
      <c r="DX79" s="67" t="str">
        <f>DATA!B15</f>
        <v>CIS</v>
      </c>
      <c r="DY79" s="67">
        <f>DATA!C15</f>
        <v>2</v>
      </c>
      <c r="DZ79" s="67" t="str">
        <f>DATA!D15</f>
        <v>Команда 2</v>
      </c>
      <c r="EA79" s="69" t="str">
        <f>DATA!E15</f>
        <v>2:2</v>
      </c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24"/>
      <c r="EU79" s="24"/>
      <c r="EV79" s="24"/>
      <c r="EW79" s="24"/>
      <c r="EX79" s="24"/>
      <c r="EY79" s="24"/>
      <c r="EZ79" s="24"/>
      <c r="FA79" s="24"/>
      <c r="FB79" s="24"/>
      <c r="FC79" s="24"/>
      <c r="FD79" s="24"/>
      <c r="FE79" s="24"/>
      <c r="FF79" s="24"/>
      <c r="FG79" s="24"/>
      <c r="FH79" s="24"/>
      <c r="FI79" s="24"/>
      <c r="FJ79" s="24"/>
    </row>
    <row r="80" spans="1:166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56"/>
      <c r="AP80" s="241"/>
      <c r="AQ80" s="241"/>
      <c r="AR80" s="241"/>
      <c r="AS80" s="45" t="s">
        <v>64</v>
      </c>
      <c r="AT80" s="45"/>
      <c r="AU80" s="45"/>
      <c r="AV80" s="45"/>
      <c r="AW80" s="45"/>
      <c r="AX80" s="56"/>
      <c r="AY80" s="56"/>
      <c r="AZ80" s="56"/>
      <c r="BA80" s="56"/>
      <c r="BB80" s="5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24"/>
      <c r="CT80" s="24"/>
      <c r="CU80" s="24"/>
      <c r="CV80" s="27"/>
      <c r="CW80" s="49">
        <v>4</v>
      </c>
      <c r="CX80" s="49">
        <v>3</v>
      </c>
      <c r="CY80" s="52"/>
      <c r="CZ80" s="53">
        <f>(((POWER(CZ53,CW80))*POWER(2.718,-CZ53))/FACT(CW80))</f>
        <v>2.1394466551786288E-2</v>
      </c>
      <c r="DA80" s="53">
        <f>(((POWER(CZ54,CX80))*POWER(2.718,-CZ54))/FACT(CX80))</f>
        <v>0.21735976736767859</v>
      </c>
      <c r="DB80" s="54">
        <f t="shared" si="19"/>
        <v>4.6502962726518481E-3</v>
      </c>
      <c r="DC80" s="52" t="str">
        <f t="shared" si="20"/>
        <v/>
      </c>
      <c r="DD80" s="27"/>
      <c r="DE80" s="27"/>
      <c r="DF80" s="27"/>
      <c r="DG80" s="24"/>
      <c r="DH80" s="24"/>
      <c r="DI80" s="24"/>
      <c r="DJ80" s="24"/>
      <c r="DK80" s="24"/>
      <c r="DL80" s="24"/>
      <c r="DM80" s="24"/>
      <c r="DN80" s="24"/>
      <c r="DO80" s="67">
        <f>DATA!A4</f>
        <v>43386</v>
      </c>
      <c r="DP80" s="24" t="str">
        <f>DATA!B4</f>
        <v>CIS</v>
      </c>
      <c r="DQ80" s="24" t="str">
        <f>DATA!C4</f>
        <v>Каманда 1</v>
      </c>
      <c r="DR80" s="24">
        <f>DATA!D4</f>
        <v>3</v>
      </c>
      <c r="DS80" s="35" t="str">
        <f>DATA!E4</f>
        <v>4:3</v>
      </c>
      <c r="DT80" s="24"/>
      <c r="DU80" s="24"/>
      <c r="DV80" s="24"/>
      <c r="DW80" s="67">
        <f>DATA!A16</f>
        <v>43384</v>
      </c>
      <c r="DX80" s="67" t="str">
        <f>DATA!B16</f>
        <v>CIS</v>
      </c>
      <c r="DY80" s="67">
        <f>DATA!C16</f>
        <v>3</v>
      </c>
      <c r="DZ80" s="67" t="str">
        <f>DATA!D16</f>
        <v>Команда 2</v>
      </c>
      <c r="EA80" s="69" t="str">
        <f>DATA!E16</f>
        <v>4:1</v>
      </c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</row>
    <row r="81" spans="1:166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56"/>
      <c r="AP81" s="246" t="s">
        <v>65</v>
      </c>
      <c r="AQ81" s="246"/>
      <c r="AR81" s="33">
        <v>0</v>
      </c>
      <c r="AS81" s="46">
        <f>(((POWER(AR57,AR81))*POWER(2.718,-AR57))/FACT(AR81))</f>
        <v>0.32631768651570398</v>
      </c>
      <c r="AT81" s="46"/>
      <c r="AU81" s="46"/>
      <c r="AV81" s="46"/>
      <c r="AW81" s="46"/>
      <c r="AX81" s="56"/>
      <c r="AY81" s="56"/>
      <c r="AZ81" s="56"/>
      <c r="BA81" s="56"/>
      <c r="BB81" s="5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24"/>
      <c r="CT81" s="24"/>
      <c r="CU81" s="24"/>
      <c r="CV81" s="27"/>
      <c r="CW81" s="49">
        <v>3</v>
      </c>
      <c r="CX81" s="49">
        <v>0</v>
      </c>
      <c r="CY81" s="52"/>
      <c r="CZ81" s="53">
        <f>(((POWER(CZ53,CW81))*POWER(2.718,-CZ53))/FACT(CW81))</f>
        <v>7.6408809113522463E-2</v>
      </c>
      <c r="DA81" s="53">
        <f>(((POWER(CZ54,CX81))*POWER(2.718,-CZ54))/FACT(CX81))</f>
        <v>7.4890273974438815E-2</v>
      </c>
      <c r="DB81" s="54">
        <f t="shared" si="19"/>
        <v>5.7222766485722949E-3</v>
      </c>
      <c r="DC81" s="52" t="str">
        <f t="shared" si="20"/>
        <v/>
      </c>
      <c r="DD81" s="27"/>
      <c r="DE81" s="27"/>
      <c r="DF81" s="27"/>
      <c r="DG81" s="24"/>
      <c r="DH81" s="24"/>
      <c r="DI81" s="24"/>
      <c r="DJ81" s="24"/>
      <c r="DK81" s="24"/>
      <c r="DL81" s="24"/>
      <c r="DM81" s="24"/>
      <c r="DN81" s="24"/>
      <c r="DO81" s="67">
        <f>DATA!A5</f>
        <v>43378</v>
      </c>
      <c r="DP81" s="24" t="str">
        <f>DATA!B5</f>
        <v>CIS</v>
      </c>
      <c r="DQ81" s="24" t="str">
        <f>DATA!C5</f>
        <v>Каманда 1</v>
      </c>
      <c r="DR81" s="24">
        <f>DATA!D5</f>
        <v>4</v>
      </c>
      <c r="DS81" s="35" t="str">
        <f>DATA!E5</f>
        <v>1:4</v>
      </c>
      <c r="DT81" s="24"/>
      <c r="DU81" s="24"/>
      <c r="DV81" s="24"/>
      <c r="DW81" s="67">
        <f>DATA!A17</f>
        <v>43379</v>
      </c>
      <c r="DX81" s="67" t="str">
        <f>DATA!B17</f>
        <v>CIS</v>
      </c>
      <c r="DY81" s="67">
        <f>DATA!C17</f>
        <v>4</v>
      </c>
      <c r="DZ81" s="67" t="str">
        <f>DATA!D17</f>
        <v>Команда 2</v>
      </c>
      <c r="EA81" s="69" t="str">
        <f>DATA!E17</f>
        <v>1:4</v>
      </c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</row>
    <row r="82" spans="1:166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56"/>
      <c r="AP82" s="246" t="s">
        <v>66</v>
      </c>
      <c r="AQ82" s="246"/>
      <c r="AR82" s="33">
        <v>2</v>
      </c>
      <c r="AS82" s="46">
        <f>(((POWER(AR58,AR82))*POWER(2.718,-AR58))/FACT(AR82))</f>
        <v>0.25157380482370206</v>
      </c>
      <c r="AT82" s="46"/>
      <c r="AU82" s="46"/>
      <c r="AV82" s="46"/>
      <c r="AW82" s="46"/>
      <c r="AX82" s="56"/>
      <c r="AY82" s="56"/>
      <c r="AZ82" s="56"/>
      <c r="BA82" s="56"/>
      <c r="BB82" s="5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24"/>
      <c r="CT82" s="24"/>
      <c r="CU82" s="24"/>
      <c r="CV82" s="27"/>
      <c r="CW82" s="49">
        <v>3</v>
      </c>
      <c r="CX82" s="49">
        <v>1</v>
      </c>
      <c r="CY82" s="52"/>
      <c r="CZ82" s="53">
        <f>(((POWER(CZ53,CW82))*POWER(2.718,-CZ53))/FACT(CW82))</f>
        <v>7.6408809113522463E-2</v>
      </c>
      <c r="DA82" s="53">
        <f>(((POWER(CZ54,CX82))*POWER(2.718,-CZ54))/FACT(CX82))</f>
        <v>0.19411559014174543</v>
      </c>
      <c r="DB82" s="54">
        <f t="shared" si="19"/>
        <v>1.4832141073099389E-2</v>
      </c>
      <c r="DC82" s="52" t="str">
        <f t="shared" si="20"/>
        <v/>
      </c>
      <c r="DD82" s="27"/>
      <c r="DE82" s="27"/>
      <c r="DF82" s="27"/>
      <c r="DG82" s="24"/>
      <c r="DH82" s="24"/>
      <c r="DI82" s="24"/>
      <c r="DJ82" s="24"/>
      <c r="DK82" s="24"/>
      <c r="DL82" s="24"/>
      <c r="DM82" s="24"/>
      <c r="DN82" s="24"/>
      <c r="DO82" s="67">
        <f>DATA!A6</f>
        <v>43374</v>
      </c>
      <c r="DP82" s="24" t="str">
        <f>DATA!B6</f>
        <v>CIS</v>
      </c>
      <c r="DQ82" s="24" t="str">
        <f>DATA!C6</f>
        <v>Каманда 1</v>
      </c>
      <c r="DR82" s="24">
        <f>DATA!D6</f>
        <v>5</v>
      </c>
      <c r="DS82" s="35" t="str">
        <f>DATA!E6</f>
        <v>3:3</v>
      </c>
      <c r="DT82" s="24"/>
      <c r="DU82" s="24"/>
      <c r="DV82" s="24"/>
      <c r="DW82" s="67">
        <f>DATA!A18</f>
        <v>43378</v>
      </c>
      <c r="DX82" s="67" t="str">
        <f>DATA!B18</f>
        <v>CIS</v>
      </c>
      <c r="DY82" s="67">
        <f>DATA!C18</f>
        <v>5</v>
      </c>
      <c r="DZ82" s="67" t="str">
        <f>DATA!D18</f>
        <v>Команда 2</v>
      </c>
      <c r="EA82" s="69" t="str">
        <f>DATA!E18</f>
        <v>4:1</v>
      </c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</row>
    <row r="83" spans="1:166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70"/>
      <c r="Q83" s="71"/>
      <c r="R83" s="71"/>
      <c r="S83" s="71"/>
      <c r="T83" s="71"/>
      <c r="U83" s="72"/>
      <c r="V83" s="72"/>
      <c r="W83" s="24" t="str">
        <f>U51</f>
        <v>Н</v>
      </c>
      <c r="X83" s="24"/>
      <c r="Y83" s="24"/>
      <c r="Z83" s="72">
        <f t="shared" ref="Z83:Z94" si="33">IF(W83="В",1,IF(W83="П",-1,IF(W83="Н",0,"")))</f>
        <v>0</v>
      </c>
      <c r="AA83" s="24"/>
      <c r="AB83" s="72">
        <f>SUM(Z83:Z87)</f>
        <v>0</v>
      </c>
      <c r="AC83" s="24">
        <f>SUM(Z90:Z94)</f>
        <v>-1</v>
      </c>
      <c r="AD83" s="24"/>
      <c r="AE83" s="71" t="s">
        <v>94</v>
      </c>
      <c r="AF83" s="70"/>
      <c r="AG83" s="70"/>
      <c r="AH83" s="70"/>
      <c r="AI83" s="24"/>
      <c r="AJ83" s="24"/>
      <c r="AK83" s="24"/>
      <c r="AL83" s="24"/>
      <c r="AM83" s="24"/>
      <c r="AN83" s="24"/>
      <c r="AO83" s="56"/>
      <c r="AP83" s="246" t="s">
        <v>67</v>
      </c>
      <c r="AQ83" s="246"/>
      <c r="AR83" s="45" t="str">
        <f>CONCATENATE(AR81,"-",AR82)</f>
        <v>0-2</v>
      </c>
      <c r="AS83" s="41">
        <f>AS81*AS82</f>
        <v>8.2092981978023713E-2</v>
      </c>
      <c r="AT83" s="41"/>
      <c r="AU83" s="41"/>
      <c r="AV83" s="41"/>
      <c r="AW83" s="45" t="str">
        <f>CONCATENATE("la quota è circa ",ROUNDUP(1/AS83,0)," a 1")</f>
        <v>la quota è circa 13 a 1</v>
      </c>
      <c r="AX83" s="56"/>
      <c r="AY83" s="56"/>
      <c r="AZ83" s="56"/>
      <c r="BA83" s="56"/>
      <c r="BB83" s="5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24"/>
      <c r="CT83" s="24"/>
      <c r="CU83" s="24"/>
      <c r="CV83" s="27"/>
      <c r="CW83" s="49">
        <v>3</v>
      </c>
      <c r="CX83" s="49">
        <v>2</v>
      </c>
      <c r="CY83" s="52"/>
      <c r="CZ83" s="53">
        <f>(((POWER(CZ53,CW83))*POWER(2.718,-CZ53))/FACT(CW83))</f>
        <v>7.6408809113522463E-2</v>
      </c>
      <c r="DA83" s="53">
        <f>(((POWER(CZ54,CX83))*POWER(2.718,-CZ54))/FACT(CX83))</f>
        <v>0.25157380482370206</v>
      </c>
      <c r="DB83" s="54">
        <f t="shared" si="19"/>
        <v>1.9222454830736809E-2</v>
      </c>
      <c r="DC83" s="52" t="str">
        <f t="shared" si="20"/>
        <v/>
      </c>
      <c r="DD83" s="27"/>
      <c r="DE83" s="27"/>
      <c r="DF83" s="27"/>
      <c r="DG83" s="24"/>
      <c r="DH83" s="24"/>
      <c r="DI83" s="24"/>
      <c r="DJ83" s="24"/>
      <c r="DK83" s="24"/>
      <c r="DL83" s="24"/>
      <c r="DM83" s="24"/>
      <c r="DN83" s="24"/>
      <c r="DO83" s="67">
        <v>42670</v>
      </c>
      <c r="DP83" s="24" t="s">
        <v>90</v>
      </c>
      <c r="DQ83" s="24" t="s">
        <v>91</v>
      </c>
      <c r="DR83" s="24" t="s">
        <v>95</v>
      </c>
      <c r="DS83" s="68" t="s">
        <v>0</v>
      </c>
      <c r="DT83" s="24"/>
      <c r="DU83" s="24"/>
      <c r="DV83" s="24"/>
      <c r="DW83" s="67">
        <v>42677</v>
      </c>
      <c r="DX83" s="24" t="s">
        <v>96</v>
      </c>
      <c r="DY83" s="24" t="s">
        <v>97</v>
      </c>
      <c r="DZ83" s="24" t="s">
        <v>92</v>
      </c>
      <c r="EA83" s="68" t="s">
        <v>98</v>
      </c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24"/>
      <c r="EU83" s="24"/>
      <c r="EV83" s="24"/>
      <c r="EW83" s="24"/>
      <c r="EX83" s="24"/>
      <c r="EY83" s="24"/>
      <c r="EZ83" s="24"/>
      <c r="FA83" s="24"/>
      <c r="FB83" s="24"/>
      <c r="FC83" s="24"/>
      <c r="FD83" s="24"/>
      <c r="FE83" s="24"/>
      <c r="FF83" s="24"/>
      <c r="FG83" s="24"/>
      <c r="FH83" s="24"/>
      <c r="FI83" s="24"/>
      <c r="FJ83" s="24"/>
    </row>
    <row r="84" spans="1:166">
      <c r="A84" s="24"/>
      <c r="B84" s="24"/>
      <c r="C84" s="24"/>
      <c r="D84" s="24"/>
      <c r="E84" s="24"/>
      <c r="F84" s="73" t="s">
        <v>127</v>
      </c>
      <c r="G84" s="73" t="s">
        <v>157</v>
      </c>
      <c r="H84" s="73" t="s">
        <v>157</v>
      </c>
      <c r="I84" s="24"/>
      <c r="J84" s="24"/>
      <c r="K84" s="24"/>
      <c r="L84" s="24"/>
      <c r="M84" s="24"/>
      <c r="N84" s="24"/>
      <c r="O84" s="24"/>
      <c r="P84" s="70"/>
      <c r="Q84" s="70"/>
      <c r="R84" s="70"/>
      <c r="S84" s="74"/>
      <c r="T84" s="70"/>
      <c r="U84" s="24"/>
      <c r="V84" s="24"/>
      <c r="W84" s="24" t="str">
        <f>U52</f>
        <v>Н</v>
      </c>
      <c r="X84" s="24"/>
      <c r="Y84" s="24"/>
      <c r="Z84" s="72">
        <f t="shared" si="33"/>
        <v>0</v>
      </c>
      <c r="AA84" s="24"/>
      <c r="AB84" s="24"/>
      <c r="AC84" s="24"/>
      <c r="AD84" s="24"/>
      <c r="AE84" s="75" t="s">
        <v>99</v>
      </c>
      <c r="AF84" s="75" t="s">
        <v>100</v>
      </c>
      <c r="AG84" s="75" t="s">
        <v>101</v>
      </c>
      <c r="AH84" s="70"/>
      <c r="AI84" s="24"/>
      <c r="AJ84" s="24"/>
      <c r="AK84" s="24"/>
      <c r="AL84" s="24"/>
      <c r="AM84" s="24"/>
      <c r="AN84" s="24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26"/>
      <c r="BD84" s="26"/>
      <c r="BE84" s="26"/>
      <c r="BF84" s="26"/>
      <c r="BG84" s="26"/>
      <c r="BH84" s="26"/>
      <c r="BI84" s="2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24"/>
      <c r="CT84" s="24"/>
      <c r="CU84" s="24"/>
      <c r="CV84" s="27"/>
      <c r="CW84" s="49">
        <v>2</v>
      </c>
      <c r="CX84" s="49">
        <v>0</v>
      </c>
      <c r="CY84" s="52"/>
      <c r="CZ84" s="53">
        <f>(((POWER(CZ53,CW84))*POWER(2.718,-CZ53))/FACT(CW84))</f>
        <v>0.20466645298264949</v>
      </c>
      <c r="DA84" s="53">
        <f>(((POWER(CZ54,CX84))*POWER(2.718,-CZ54))/FACT(CX84))</f>
        <v>7.4890273974438815E-2</v>
      </c>
      <c r="DB84" s="54">
        <f t="shared" si="19"/>
        <v>1.5327526737247221E-2</v>
      </c>
      <c r="DC84" s="52" t="str">
        <f t="shared" si="20"/>
        <v/>
      </c>
      <c r="DD84" s="27"/>
      <c r="DE84" s="27"/>
      <c r="DF84" s="27"/>
      <c r="DG84" s="24"/>
      <c r="DH84" s="24"/>
      <c r="DI84" s="24"/>
      <c r="DJ84" s="24"/>
      <c r="DK84" s="24"/>
      <c r="DL84" s="24"/>
      <c r="DM84" s="24"/>
      <c r="DN84" s="24"/>
      <c r="DO84" s="67">
        <v>42658</v>
      </c>
      <c r="DP84" s="24" t="s">
        <v>90</v>
      </c>
      <c r="DQ84" s="24" t="s">
        <v>91</v>
      </c>
      <c r="DR84" s="24" t="s">
        <v>102</v>
      </c>
      <c r="DS84" s="68" t="s">
        <v>1</v>
      </c>
      <c r="DT84" s="24"/>
      <c r="DU84" s="24"/>
      <c r="DV84" s="24"/>
      <c r="DW84" s="67">
        <v>42663</v>
      </c>
      <c r="DX84" s="24" t="s">
        <v>90</v>
      </c>
      <c r="DY84" s="24" t="s">
        <v>102</v>
      </c>
      <c r="DZ84" s="24" t="s">
        <v>92</v>
      </c>
      <c r="EA84" s="68" t="s">
        <v>3</v>
      </c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</row>
    <row r="85" spans="1:166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70"/>
      <c r="Q85" s="70"/>
      <c r="R85" s="70"/>
      <c r="S85" s="74"/>
      <c r="T85" s="70"/>
      <c r="U85" s="24"/>
      <c r="V85" s="24"/>
      <c r="W85" s="24" t="str">
        <f>U53</f>
        <v>В</v>
      </c>
      <c r="X85" s="24"/>
      <c r="Y85" s="24"/>
      <c r="Z85" s="72">
        <f t="shared" si="33"/>
        <v>1</v>
      </c>
      <c r="AA85" s="24"/>
      <c r="AB85" s="24"/>
      <c r="AC85" s="24"/>
      <c r="AD85" s="24"/>
      <c r="AE85" s="76">
        <f>AH96+AH97+AH98+AH99+AH100</f>
        <v>13</v>
      </c>
      <c r="AF85" s="77">
        <f>(AF96+AF97+AF98+AF99+AF100+AG96+AG97+AG98+AG99+AG100)/1.5</f>
        <v>20</v>
      </c>
      <c r="AG85" s="78">
        <f>AE96+AE97+AE98+AE99+AE100</f>
        <v>12</v>
      </c>
      <c r="AH85" s="70"/>
      <c r="AI85" s="24"/>
      <c r="AJ85" s="24"/>
      <c r="AK85" s="24"/>
      <c r="AL85" s="24"/>
      <c r="AM85" s="24"/>
      <c r="AN85" s="24"/>
      <c r="AO85" s="56"/>
      <c r="AP85" s="241"/>
      <c r="AQ85" s="241"/>
      <c r="AR85" s="241"/>
      <c r="AS85" s="45" t="s">
        <v>64</v>
      </c>
      <c r="AT85" s="45"/>
      <c r="AU85" s="45"/>
      <c r="AV85" s="45"/>
      <c r="AW85" s="45"/>
      <c r="AX85" s="56"/>
      <c r="AY85" s="56"/>
      <c r="AZ85" s="56"/>
      <c r="BA85" s="56"/>
      <c r="BB85" s="56"/>
      <c r="BC85" s="26"/>
      <c r="BD85" s="26"/>
      <c r="BE85" s="26"/>
      <c r="BF85" s="26"/>
      <c r="BG85" s="26"/>
      <c r="BH85" s="26"/>
      <c r="BI85" s="2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24"/>
      <c r="CT85" s="24"/>
      <c r="CU85" s="24"/>
      <c r="CV85" s="27"/>
      <c r="CW85" s="49">
        <v>2</v>
      </c>
      <c r="CX85" s="49">
        <v>1</v>
      </c>
      <c r="CY85" s="52"/>
      <c r="CZ85" s="53">
        <f>(((POWER(CZ53,CW85))*POWER(2.718,-CZ53))/FACT(CW85))</f>
        <v>0.20466645298264949</v>
      </c>
      <c r="DA85" s="53">
        <f>(((POWER(CZ54,CX85))*POWER(2.718,-CZ54))/FACT(CX85))</f>
        <v>0.19411559014174543</v>
      </c>
      <c r="DB85" s="54">
        <f t="shared" si="19"/>
        <v>3.9728949302944801E-2</v>
      </c>
      <c r="DC85" s="52" t="str">
        <f t="shared" si="20"/>
        <v>&lt;-- PRONO</v>
      </c>
      <c r="DD85" s="27"/>
      <c r="DE85" s="27"/>
      <c r="DF85" s="27"/>
      <c r="DG85" s="24"/>
      <c r="DH85" s="24"/>
      <c r="DI85" s="24"/>
      <c r="DJ85" s="24"/>
      <c r="DK85" s="24"/>
      <c r="DL85" s="24"/>
      <c r="DM85" s="24"/>
      <c r="DN85" s="24"/>
      <c r="DO85" s="67">
        <v>42628</v>
      </c>
      <c r="DP85" s="24" t="s">
        <v>90</v>
      </c>
      <c r="DQ85" s="24" t="s">
        <v>91</v>
      </c>
      <c r="DR85" s="24" t="s">
        <v>103</v>
      </c>
      <c r="DS85" s="68" t="s">
        <v>0</v>
      </c>
      <c r="DT85" s="24"/>
      <c r="DU85" s="24"/>
      <c r="DV85" s="24"/>
      <c r="DW85" s="67">
        <v>42634</v>
      </c>
      <c r="DX85" s="24" t="s">
        <v>90</v>
      </c>
      <c r="DY85" s="24" t="s">
        <v>103</v>
      </c>
      <c r="DZ85" s="24" t="s">
        <v>92</v>
      </c>
      <c r="EA85" s="68" t="s">
        <v>1</v>
      </c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  <c r="ES85" s="24"/>
      <c r="ET85" s="24"/>
      <c r="EU85" s="24"/>
      <c r="EV85" s="24"/>
      <c r="EW85" s="24"/>
      <c r="EX85" s="24"/>
      <c r="EY85" s="24"/>
      <c r="EZ85" s="24"/>
      <c r="FA85" s="24"/>
      <c r="FB85" s="24"/>
      <c r="FC85" s="24"/>
      <c r="FD85" s="24"/>
      <c r="FE85" s="24"/>
      <c r="FF85" s="24"/>
      <c r="FG85" s="24"/>
      <c r="FH85" s="24"/>
      <c r="FI85" s="24"/>
      <c r="FJ85" s="24"/>
    </row>
    <row r="86" spans="1:166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70"/>
      <c r="Q86" s="70"/>
      <c r="R86" s="70"/>
      <c r="S86" s="74"/>
      <c r="T86" s="70"/>
      <c r="U86" s="24"/>
      <c r="V86" s="24"/>
      <c r="W86" s="24" t="str">
        <f>U54</f>
        <v>П</v>
      </c>
      <c r="X86" s="24"/>
      <c r="Y86" s="24"/>
      <c r="Z86" s="72">
        <f t="shared" si="33"/>
        <v>-1</v>
      </c>
      <c r="AA86" s="24"/>
      <c r="AB86" s="24"/>
      <c r="AC86" s="24"/>
      <c r="AD86" s="24"/>
      <c r="AE86" s="71" t="s">
        <v>104</v>
      </c>
      <c r="AF86" s="70"/>
      <c r="AG86" s="70"/>
      <c r="AH86" s="70"/>
      <c r="AI86" s="24"/>
      <c r="AJ86" s="24"/>
      <c r="AK86" s="24"/>
      <c r="AL86" s="24"/>
      <c r="AM86" s="24"/>
      <c r="AN86" s="24"/>
      <c r="AO86" s="56"/>
      <c r="AP86" s="246" t="s">
        <v>65</v>
      </c>
      <c r="AQ86" s="246"/>
      <c r="AR86" s="33">
        <v>1</v>
      </c>
      <c r="AS86" s="46">
        <f>(((POWER(AR57,AR86))*POWER(2.718,-AR57))/FACT(AR86))</f>
        <v>0.36547580889758841</v>
      </c>
      <c r="AT86" s="46"/>
      <c r="AU86" s="46"/>
      <c r="AV86" s="46"/>
      <c r="AW86" s="46"/>
      <c r="AX86" s="56"/>
      <c r="AY86" s="56"/>
      <c r="AZ86" s="56"/>
      <c r="BA86" s="56"/>
      <c r="BB86" s="56"/>
      <c r="BC86" s="26"/>
      <c r="BD86" s="26"/>
      <c r="BE86" s="26"/>
      <c r="BF86" s="26"/>
      <c r="BG86" s="26"/>
      <c r="BH86" s="26"/>
      <c r="BI86" s="2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24"/>
      <c r="CT86" s="24"/>
      <c r="CU86" s="24"/>
      <c r="CV86" s="27"/>
      <c r="CW86" s="49">
        <v>1</v>
      </c>
      <c r="CX86" s="49">
        <v>0</v>
      </c>
      <c r="CY86" s="52"/>
      <c r="CZ86" s="53">
        <f>(((POWER(CZ53,CW86))*POWER(2.718,-CZ53)/FACT(CW86)))</f>
        <v>0.36547580889758841</v>
      </c>
      <c r="DA86" s="53">
        <f>(((POWER(CZ54,CX86))*POWER(2.718,-CZ54))/FACT(CX86))</f>
        <v>7.4890273974438815E-2</v>
      </c>
      <c r="DB86" s="54">
        <f t="shared" si="19"/>
        <v>2.7370583459370039E-2</v>
      </c>
      <c r="DC86" s="52" t="str">
        <f t="shared" si="20"/>
        <v/>
      </c>
      <c r="DD86" s="27"/>
      <c r="DE86" s="27"/>
      <c r="DF86" s="27"/>
      <c r="DG86" s="24"/>
      <c r="DH86" s="24"/>
      <c r="DI86" s="24"/>
      <c r="DJ86" s="24"/>
      <c r="DK86" s="24"/>
      <c r="DL86" s="24"/>
      <c r="DM86" s="24"/>
      <c r="DN86" s="24"/>
      <c r="DO86" s="67">
        <v>42593</v>
      </c>
      <c r="DP86" s="24" t="s">
        <v>90</v>
      </c>
      <c r="DQ86" s="24" t="s">
        <v>91</v>
      </c>
      <c r="DR86" s="24" t="s">
        <v>105</v>
      </c>
      <c r="DS86" s="68" t="s">
        <v>0</v>
      </c>
      <c r="DT86" s="24"/>
      <c r="DU86" s="24"/>
      <c r="DV86" s="24"/>
      <c r="DW86" s="67">
        <v>42594</v>
      </c>
      <c r="DX86" s="24" t="s">
        <v>90</v>
      </c>
      <c r="DY86" s="24" t="s">
        <v>106</v>
      </c>
      <c r="DZ86" s="24" t="s">
        <v>92</v>
      </c>
      <c r="EA86" s="68" t="s">
        <v>0</v>
      </c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  <c r="FC86" s="24"/>
      <c r="FD86" s="24"/>
      <c r="FE86" s="24"/>
      <c r="FF86" s="24"/>
      <c r="FG86" s="24"/>
      <c r="FH86" s="24"/>
      <c r="FI86" s="24"/>
      <c r="FJ86" s="24"/>
    </row>
    <row r="87" spans="1:166">
      <c r="A87" s="24"/>
      <c r="B87" s="24"/>
      <c r="C87" s="24"/>
      <c r="D87" s="24"/>
      <c r="E87" s="24"/>
      <c r="F87" s="24"/>
      <c r="G87" s="24"/>
      <c r="H87" s="29" t="s">
        <v>151</v>
      </c>
      <c r="I87" s="29" t="s">
        <v>152</v>
      </c>
      <c r="J87" s="24"/>
      <c r="K87" s="29" t="s">
        <v>151</v>
      </c>
      <c r="L87" s="29" t="s">
        <v>152</v>
      </c>
      <c r="M87" s="29" t="s">
        <v>151</v>
      </c>
      <c r="N87" s="29" t="s">
        <v>152</v>
      </c>
      <c r="O87" s="24"/>
      <c r="P87" s="70"/>
      <c r="Q87" s="70"/>
      <c r="R87" s="70"/>
      <c r="S87" s="74"/>
      <c r="T87" s="70"/>
      <c r="U87" s="24"/>
      <c r="V87" s="24"/>
      <c r="W87" s="24" t="str">
        <f>U55</f>
        <v>Н</v>
      </c>
      <c r="X87" s="24"/>
      <c r="Y87" s="24"/>
      <c r="Z87" s="72">
        <f t="shared" si="33"/>
        <v>0</v>
      </c>
      <c r="AA87" s="24"/>
      <c r="AB87" s="24"/>
      <c r="AC87" s="24"/>
      <c r="AD87" s="24"/>
      <c r="AE87" s="79">
        <f>AE102-AG102</f>
        <v>-1</v>
      </c>
      <c r="AF87" s="79">
        <f>AF102-AG102</f>
        <v>1</v>
      </c>
      <c r="AG87" s="79">
        <f>AG102-AE102</f>
        <v>1</v>
      </c>
      <c r="AH87" s="79">
        <f>AH102-AE102</f>
        <v>4</v>
      </c>
      <c r="AI87" s="24"/>
      <c r="AJ87" s="24"/>
      <c r="AK87" s="24"/>
      <c r="AL87" s="24"/>
      <c r="AM87" s="24"/>
      <c r="AN87" s="24"/>
      <c r="AO87" s="56"/>
      <c r="AP87" s="246" t="s">
        <v>66</v>
      </c>
      <c r="AQ87" s="246"/>
      <c r="AR87" s="33">
        <v>1</v>
      </c>
      <c r="AS87" s="46">
        <f>(((POWER(AR58,AR87))*POWER(2.718,-AR58))/FACT(AR87))</f>
        <v>0.19411559014174543</v>
      </c>
      <c r="AT87" s="46"/>
      <c r="AU87" s="46"/>
      <c r="AV87" s="46"/>
      <c r="AW87" s="46"/>
      <c r="AX87" s="56"/>
      <c r="AY87" s="56"/>
      <c r="AZ87" s="56"/>
      <c r="BA87" s="56"/>
      <c r="BB87" s="56"/>
      <c r="BC87" s="26"/>
      <c r="BD87" s="26"/>
      <c r="BE87" s="26"/>
      <c r="BF87" s="26"/>
      <c r="BG87" s="26"/>
      <c r="BH87" s="26"/>
      <c r="BI87" s="2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24"/>
      <c r="CT87" s="24"/>
      <c r="CU87" s="24"/>
      <c r="CV87" s="27"/>
      <c r="CW87" s="27"/>
      <c r="CX87" s="27"/>
      <c r="CY87" s="52"/>
      <c r="CZ87" s="27"/>
      <c r="DA87" s="27"/>
      <c r="DB87" s="52"/>
      <c r="DC87" s="27"/>
      <c r="DD87" s="27"/>
      <c r="DE87" s="27"/>
      <c r="DF87" s="27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/>
      <c r="DX87" s="24"/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  <c r="ES87" s="24"/>
      <c r="ET87" s="24"/>
      <c r="EU87" s="24"/>
      <c r="EV87" s="24"/>
      <c r="EW87" s="24"/>
      <c r="EX87" s="24"/>
      <c r="EY87" s="24"/>
      <c r="EZ87" s="24"/>
      <c r="FA87" s="24"/>
      <c r="FB87" s="24"/>
      <c r="FC87" s="24"/>
      <c r="FD87" s="24"/>
      <c r="FE87" s="24"/>
      <c r="FF87" s="24"/>
      <c r="FG87" s="24"/>
      <c r="FH87" s="24"/>
      <c r="FI87" s="24"/>
      <c r="FJ87" s="24"/>
    </row>
    <row r="88" spans="1:166">
      <c r="A88" s="24"/>
      <c r="B88" s="24"/>
      <c r="C88" s="24"/>
      <c r="D88" s="24"/>
      <c r="E88" s="24"/>
      <c r="F88" s="24"/>
      <c r="G88" s="24"/>
      <c r="H88" s="80">
        <f>VALUE(REPLACE(G84,FIND(".",G84,1),1,","))</f>
        <v>1.9</v>
      </c>
      <c r="I88" s="80">
        <f>VALUE(REPLACE(H84,FIND(".",H84,1),1,","))</f>
        <v>1.9</v>
      </c>
      <c r="J88" s="80">
        <f>H88+I88</f>
        <v>3.8</v>
      </c>
      <c r="K88" s="81">
        <f>100/H88</f>
        <v>52.631578947368425</v>
      </c>
      <c r="L88" s="82">
        <f>100/I88</f>
        <v>52.631578947368425</v>
      </c>
      <c r="M88" s="83">
        <f>(J88/100)*H88</f>
        <v>7.22E-2</v>
      </c>
      <c r="N88" s="83">
        <f>100-M88</f>
        <v>99.927800000000005</v>
      </c>
      <c r="O88" s="24"/>
      <c r="P88" s="70"/>
      <c r="Q88" s="70"/>
      <c r="R88" s="70"/>
      <c r="S88" s="74"/>
      <c r="T88" s="70"/>
      <c r="U88" s="24"/>
      <c r="V88" s="24"/>
      <c r="W88" s="24"/>
      <c r="X88" s="24"/>
      <c r="Y88" s="24"/>
      <c r="Z88" s="72" t="str">
        <f t="shared" si="33"/>
        <v/>
      </c>
      <c r="AA88" s="24"/>
      <c r="AB88" s="24"/>
      <c r="AC88" s="24"/>
      <c r="AD88" s="24"/>
      <c r="AE88" s="71" t="s">
        <v>107</v>
      </c>
      <c r="AF88" s="70"/>
      <c r="AG88" s="70"/>
      <c r="AH88" s="70"/>
      <c r="AI88" s="24"/>
      <c r="AJ88" s="24"/>
      <c r="AK88" s="24"/>
      <c r="AL88" s="24"/>
      <c r="AM88" s="24"/>
      <c r="AN88" s="24"/>
      <c r="AO88" s="56"/>
      <c r="AP88" s="246" t="s">
        <v>67</v>
      </c>
      <c r="AQ88" s="246"/>
      <c r="AR88" s="45" t="str">
        <f>CONCATENATE(AR86,"-",AR87)</f>
        <v>1-1</v>
      </c>
      <c r="AS88" s="41">
        <f>AS86*AS87</f>
        <v>7.0944552326687144E-2</v>
      </c>
      <c r="AT88" s="41"/>
      <c r="AU88" s="41"/>
      <c r="AV88" s="41"/>
      <c r="AW88" s="45" t="str">
        <f>CONCATENATE("la quota è circa ",ROUNDUP(1/AS88,0)," a 1")</f>
        <v>la quota è circa 15 a 1</v>
      </c>
      <c r="AX88" s="56"/>
      <c r="AY88" s="56"/>
      <c r="AZ88" s="56"/>
      <c r="BA88" s="56"/>
      <c r="BB88" s="56"/>
      <c r="BC88" s="26"/>
      <c r="BD88" s="26"/>
      <c r="BE88" s="26"/>
      <c r="BF88" s="26"/>
      <c r="BG88" s="26"/>
      <c r="BH88" s="26"/>
      <c r="BI88" s="2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24"/>
      <c r="CT88" s="24"/>
      <c r="CU88" s="24"/>
      <c r="CV88" s="27"/>
      <c r="CW88" s="27"/>
      <c r="CX88" s="27"/>
      <c r="CY88" s="52"/>
      <c r="CZ88" s="27"/>
      <c r="DA88" s="27"/>
      <c r="DB88" s="52"/>
      <c r="DC88" s="27"/>
      <c r="DD88" s="27"/>
      <c r="DE88" s="27"/>
      <c r="DF88" s="27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  <c r="FC88" s="24"/>
      <c r="FD88" s="24"/>
      <c r="FE88" s="24"/>
      <c r="FF88" s="24"/>
      <c r="FG88" s="24"/>
      <c r="FH88" s="24"/>
      <c r="FI88" s="24"/>
      <c r="FJ88" s="24"/>
    </row>
    <row r="89" spans="1:166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84"/>
      <c r="P89" s="70"/>
      <c r="Q89" s="71"/>
      <c r="R89" s="71"/>
      <c r="S89" s="71"/>
      <c r="T89" s="71"/>
      <c r="U89" s="24"/>
      <c r="V89" s="24"/>
      <c r="W89" s="24"/>
      <c r="X89" s="24"/>
      <c r="Y89" s="24"/>
      <c r="Z89" s="72" t="str">
        <f t="shared" si="33"/>
        <v/>
      </c>
      <c r="AA89" s="24"/>
      <c r="AB89" s="24"/>
      <c r="AC89" s="24"/>
      <c r="AD89" s="24"/>
      <c r="AE89" s="79">
        <f>AE104-AG104</f>
        <v>0</v>
      </c>
      <c r="AF89" s="79">
        <f>AF104-AG104</f>
        <v>0</v>
      </c>
      <c r="AG89" s="79">
        <f>AG104-AE104</f>
        <v>0</v>
      </c>
      <c r="AH89" s="79">
        <f>AH104-AE104</f>
        <v>0</v>
      </c>
      <c r="AI89" s="24"/>
      <c r="AJ89" s="24"/>
      <c r="AK89" s="24"/>
      <c r="AL89" s="24"/>
      <c r="AM89" s="24"/>
      <c r="AN89" s="24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26"/>
      <c r="BD89" s="26"/>
      <c r="BE89" s="26"/>
      <c r="BF89" s="26"/>
      <c r="BG89" s="26"/>
      <c r="BH89" s="26"/>
      <c r="BI89" s="2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24"/>
      <c r="CT89" s="24"/>
      <c r="CU89" s="24"/>
      <c r="CV89" s="27"/>
      <c r="CW89" s="242" t="s">
        <v>108</v>
      </c>
      <c r="CX89" s="242"/>
      <c r="CY89" s="242"/>
      <c r="CZ89" s="242"/>
      <c r="DA89" s="242"/>
      <c r="DB89" s="242"/>
      <c r="DC89" s="242"/>
      <c r="DD89" s="242"/>
      <c r="DE89" s="27"/>
      <c r="DF89" s="27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</row>
    <row r="90" spans="1:166">
      <c r="A90" s="24"/>
      <c r="B90" s="24"/>
      <c r="C90" s="24"/>
      <c r="D90" s="24"/>
      <c r="E90" s="24"/>
      <c r="F90" s="24"/>
      <c r="G90" s="24"/>
      <c r="H90" s="254"/>
      <c r="I90" s="254"/>
      <c r="J90" s="24"/>
      <c r="K90" s="254"/>
      <c r="L90" s="254"/>
      <c r="M90" s="24"/>
      <c r="N90" s="24"/>
      <c r="O90" s="24"/>
      <c r="P90" s="70"/>
      <c r="Q90" s="70"/>
      <c r="R90" s="70"/>
      <c r="S90" s="79"/>
      <c r="T90" s="71"/>
      <c r="U90" s="24"/>
      <c r="V90" s="24"/>
      <c r="W90" s="24" t="str">
        <f>U63</f>
        <v>Н</v>
      </c>
      <c r="X90" s="24"/>
      <c r="Y90" s="24"/>
      <c r="Z90" s="72">
        <f t="shared" si="33"/>
        <v>0</v>
      </c>
      <c r="AA90" s="24"/>
      <c r="AB90" s="24"/>
      <c r="AC90" s="24"/>
      <c r="AD90" s="24"/>
      <c r="AE90" s="71" t="s">
        <v>109</v>
      </c>
      <c r="AF90" s="70"/>
      <c r="AG90" s="71" t="s">
        <v>110</v>
      </c>
      <c r="AH90" s="70"/>
      <c r="AI90" s="24"/>
      <c r="AJ90" s="24"/>
      <c r="AK90" s="24"/>
      <c r="AL90" s="24"/>
      <c r="AM90" s="24"/>
      <c r="AN90" s="24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26"/>
      <c r="BD90" s="26"/>
      <c r="BE90" s="26"/>
      <c r="BF90" s="26"/>
      <c r="BG90" s="26"/>
      <c r="BH90" s="26"/>
      <c r="BI90" s="2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24"/>
      <c r="CT90" s="24"/>
      <c r="CU90" s="24"/>
      <c r="CV90" s="27"/>
      <c r="CW90" s="49" t="s">
        <v>57</v>
      </c>
      <c r="CX90" s="49" t="s">
        <v>58</v>
      </c>
      <c r="CY90" s="52"/>
      <c r="CZ90" s="49" t="s">
        <v>59</v>
      </c>
      <c r="DA90" s="49" t="s">
        <v>60</v>
      </c>
      <c r="DB90" s="50" t="s">
        <v>61</v>
      </c>
      <c r="DC90" s="27"/>
      <c r="DD90" s="27"/>
      <c r="DE90" s="27"/>
      <c r="DF90" s="27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>
        <f>DW97*1.2</f>
        <v>1.2</v>
      </c>
      <c r="DX90" s="24">
        <f>DX97*0.8</f>
        <v>0.8</v>
      </c>
      <c r="DY90" s="24">
        <f>DY97</f>
        <v>0</v>
      </c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  <c r="ES90" s="24"/>
      <c r="ET90" s="24"/>
      <c r="EU90" s="24"/>
      <c r="EV90" s="24"/>
      <c r="EW90" s="24"/>
      <c r="EX90" s="24"/>
      <c r="EY90" s="24"/>
      <c r="EZ90" s="24"/>
      <c r="FA90" s="24"/>
      <c r="FB90" s="24"/>
      <c r="FC90" s="24"/>
      <c r="FD90" s="24"/>
      <c r="FE90" s="24"/>
      <c r="FF90" s="24"/>
      <c r="FG90" s="24"/>
      <c r="FH90" s="24"/>
      <c r="FI90" s="24"/>
      <c r="FJ90" s="24"/>
    </row>
    <row r="91" spans="1:166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9" t="s">
        <v>153</v>
      </c>
      <c r="L91" s="29" t="s">
        <v>154</v>
      </c>
      <c r="M91" s="24"/>
      <c r="N91" s="24"/>
      <c r="O91" s="24"/>
      <c r="P91" s="70"/>
      <c r="Q91" s="70"/>
      <c r="R91" s="70"/>
      <c r="S91" s="79"/>
      <c r="T91" s="71"/>
      <c r="U91" s="24"/>
      <c r="V91" s="24"/>
      <c r="W91" s="24" t="str">
        <f>U64</f>
        <v>Н</v>
      </c>
      <c r="X91" s="24"/>
      <c r="Y91" s="24"/>
      <c r="Z91" s="72">
        <f t="shared" si="33"/>
        <v>0</v>
      </c>
      <c r="AA91" s="24"/>
      <c r="AB91" s="24"/>
      <c r="AC91" s="24"/>
      <c r="AD91" s="24"/>
      <c r="AE91" s="85">
        <f>(AE104/5)+(AH104/5)/2</f>
        <v>0</v>
      </c>
      <c r="AF91" s="85">
        <f>(AG104/5)+(AF104/5)/2</f>
        <v>0</v>
      </c>
      <c r="AG91" s="85">
        <f>(AE102/5)+(AH102/5)/2</f>
        <v>4</v>
      </c>
      <c r="AH91" s="85">
        <f>(AH102/5)+(AE102/5)/2</f>
        <v>4.4000000000000004</v>
      </c>
      <c r="AI91" s="24"/>
      <c r="AJ91" s="24"/>
      <c r="AK91" s="24"/>
      <c r="AL91" s="24"/>
      <c r="AM91" s="24"/>
      <c r="AN91" s="24"/>
      <c r="AO91" s="56"/>
      <c r="AP91" s="241"/>
      <c r="AQ91" s="241"/>
      <c r="AR91" s="241"/>
      <c r="AS91" s="45" t="s">
        <v>64</v>
      </c>
      <c r="AT91" s="45"/>
      <c r="AU91" s="45"/>
      <c r="AV91" s="45"/>
      <c r="AW91" s="45"/>
      <c r="AX91" s="56"/>
      <c r="AY91" s="56"/>
      <c r="AZ91" s="56"/>
      <c r="BA91" s="56"/>
      <c r="BB91" s="56"/>
      <c r="BC91" s="26"/>
      <c r="BD91" s="26"/>
      <c r="BE91" s="26"/>
      <c r="BF91" s="26"/>
      <c r="BG91" s="26"/>
      <c r="BH91" s="26"/>
      <c r="BI91" s="2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24"/>
      <c r="CT91" s="24"/>
      <c r="CU91" s="24"/>
      <c r="CV91" s="27"/>
      <c r="CW91" s="49">
        <v>0</v>
      </c>
      <c r="CX91" s="49">
        <v>7</v>
      </c>
      <c r="CY91" s="52"/>
      <c r="CZ91" s="53">
        <f t="shared" ref="CZ91:CZ118" si="34">(((POWER($CZ$53,CW91))*POWER(2.718,-$CZ$53))/FACT(CW91))</f>
        <v>0.32631768651570398</v>
      </c>
      <c r="DA91" s="53">
        <f t="shared" ref="DA91:DA118" si="35">(((POWER($CZ$54,CX91))*POWER(2.718,-$CZ$54))/FACT(CX91))</f>
        <v>1.1679919870538845E-2</v>
      </c>
      <c r="DB91" s="54">
        <f t="shared" ref="DB91:DB118" si="36">CZ91*DA91</f>
        <v>3.8113644308430364E-3</v>
      </c>
      <c r="DC91" s="52" t="str">
        <f t="shared" ref="DC91:DC118" si="37">IF(DB91=MAX($DB$91:$DB$118),"&lt;-- PRONO","")</f>
        <v/>
      </c>
      <c r="DD91" s="27"/>
      <c r="DE91" s="27"/>
      <c r="DF91" s="27"/>
      <c r="DG91" s="24"/>
      <c r="DH91" s="24"/>
      <c r="DI91" s="24"/>
      <c r="DJ91" s="24"/>
      <c r="DK91" s="24"/>
      <c r="DL91" s="24"/>
      <c r="DM91" s="24"/>
      <c r="DN91" s="24"/>
      <c r="DO91" s="24" t="s">
        <v>4</v>
      </c>
      <c r="DP91" s="24" t="s">
        <v>5</v>
      </c>
      <c r="DQ91" s="24" t="s">
        <v>6</v>
      </c>
      <c r="DR91" s="24" t="s">
        <v>7</v>
      </c>
      <c r="DS91" s="24" t="s">
        <v>8</v>
      </c>
      <c r="DT91" s="24" t="s">
        <v>9</v>
      </c>
      <c r="DU91" s="29" t="s">
        <v>10</v>
      </c>
      <c r="DV91" s="29" t="s">
        <v>11</v>
      </c>
      <c r="DW91" s="29" t="s">
        <v>12</v>
      </c>
      <c r="DX91" s="29" t="s">
        <v>13</v>
      </c>
      <c r="DY91" s="29" t="s">
        <v>111</v>
      </c>
      <c r="DZ91" s="24">
        <f>SUM(DW90:DY90)</f>
        <v>2</v>
      </c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</row>
    <row r="92" spans="1:166">
      <c r="A92" s="24"/>
      <c r="B92" s="24"/>
      <c r="C92" s="24"/>
      <c r="D92" s="24"/>
      <c r="E92" s="24"/>
      <c r="F92" s="24"/>
      <c r="G92" s="24"/>
      <c r="H92" s="40">
        <f>IFERROR(M60/10*100,"")</f>
        <v>90</v>
      </c>
      <c r="I92" s="40">
        <f>IFERROR(M71/10*100,"")</f>
        <v>80</v>
      </c>
      <c r="J92" s="40">
        <f>H92+I92</f>
        <v>170</v>
      </c>
      <c r="K92" s="82">
        <f>(J92/100)*H92</f>
        <v>153</v>
      </c>
      <c r="L92" s="82">
        <f>100-K92</f>
        <v>-53</v>
      </c>
      <c r="M92" s="24"/>
      <c r="N92" s="24"/>
      <c r="O92" s="24"/>
      <c r="P92" s="70"/>
      <c r="Q92" s="70"/>
      <c r="R92" s="70"/>
      <c r="S92" s="79"/>
      <c r="T92" s="71"/>
      <c r="U92" s="24"/>
      <c r="V92" s="24"/>
      <c r="W92" s="24" t="str">
        <f>U65</f>
        <v>П</v>
      </c>
      <c r="X92" s="24"/>
      <c r="Y92" s="24"/>
      <c r="Z92" s="72">
        <f t="shared" si="33"/>
        <v>-1</v>
      </c>
      <c r="AA92" s="24"/>
      <c r="AB92" s="24"/>
      <c r="AC92" s="24"/>
      <c r="AD92" s="24"/>
      <c r="AE92" s="70">
        <f>AE102/5</f>
        <v>2.4</v>
      </c>
      <c r="AF92" s="70">
        <f>AG102/5</f>
        <v>2.6</v>
      </c>
      <c r="AG92" s="70"/>
      <c r="AH92" s="70"/>
      <c r="AI92" s="24"/>
      <c r="AJ92" s="24"/>
      <c r="AK92" s="24"/>
      <c r="AL92" s="24"/>
      <c r="AM92" s="24"/>
      <c r="AN92" s="24"/>
      <c r="AO92" s="56"/>
      <c r="AP92" s="246" t="s">
        <v>65</v>
      </c>
      <c r="AQ92" s="246"/>
      <c r="AR92" s="33">
        <v>2</v>
      </c>
      <c r="AS92" s="46">
        <f>(((POWER(AR57,AR92))*POWER(2.718,-AR57))/FACT(AR92))</f>
        <v>0.20466645298264949</v>
      </c>
      <c r="AT92" s="46"/>
      <c r="AU92" s="46"/>
      <c r="AV92" s="46"/>
      <c r="AW92" s="46"/>
      <c r="AX92" s="56"/>
      <c r="AY92" s="56"/>
      <c r="AZ92" s="56"/>
      <c r="BA92" s="56"/>
      <c r="BB92" s="56"/>
      <c r="BC92" s="26"/>
      <c r="BD92" s="26"/>
      <c r="BE92" s="26"/>
      <c r="BF92" s="26"/>
      <c r="BG92" s="26"/>
      <c r="BH92" s="26"/>
      <c r="BI92" s="2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24"/>
      <c r="CT92" s="24"/>
      <c r="CU92" s="24"/>
      <c r="CV92" s="27"/>
      <c r="CW92" s="49">
        <v>1</v>
      </c>
      <c r="CX92" s="49">
        <v>7</v>
      </c>
      <c r="CY92" s="52"/>
      <c r="CZ92" s="53">
        <f t="shared" si="34"/>
        <v>0.36547580889758841</v>
      </c>
      <c r="DA92" s="53">
        <f t="shared" si="35"/>
        <v>1.1679919870538845E-2</v>
      </c>
      <c r="DB92" s="54">
        <f t="shared" si="36"/>
        <v>4.2687281625442006E-3</v>
      </c>
      <c r="DC92" s="52" t="str">
        <f t="shared" si="37"/>
        <v/>
      </c>
      <c r="DD92" s="27"/>
      <c r="DE92" s="27"/>
      <c r="DF92" s="27"/>
      <c r="DG92" s="24"/>
      <c r="DH92" s="24"/>
      <c r="DI92" s="24"/>
      <c r="DJ92" s="24"/>
      <c r="DK92" s="24"/>
      <c r="DL92" s="24"/>
      <c r="DM92" s="24"/>
      <c r="DN92" s="24"/>
      <c r="DO92" s="24" t="str">
        <f t="shared" ref="DO92:DP96" si="38">DQ78</f>
        <v>Каманда 1</v>
      </c>
      <c r="DP92" s="24">
        <f t="shared" si="38"/>
        <v>1</v>
      </c>
      <c r="DQ92" s="24">
        <f>VALUE(LEFT(DS78,FIND(":",DS78,1)-1))</f>
        <v>1</v>
      </c>
      <c r="DR92" s="24">
        <f>VALUE(LEFT(RIGHT(DS78,LEN(DS78)-FIND(":",DS78,1)),4))</f>
        <v>1</v>
      </c>
      <c r="DS92" s="24" t="str">
        <f>IF(DO92=$DQ$75,"Дома","В гостях")</f>
        <v>Дома</v>
      </c>
      <c r="DT92" s="24" t="str">
        <f>IF(DS92="Дома",IF(DQ92&gt;DR92,"В",IF(DQ92=DR92,"Н","П")),IF(DQ92&lt;DR92,"В",IF(DQ92=DR92,"Н","П")))</f>
        <v>Н</v>
      </c>
      <c r="DU92" s="29">
        <f>IFERROR(IF(DS92="Дома",DQ92,DR92),"")</f>
        <v>1</v>
      </c>
      <c r="DV92" s="29">
        <f>IFERROR(IF(DS92="Дома",DR92,DQ92),"")</f>
        <v>1</v>
      </c>
      <c r="DW92" s="29">
        <f>IF(DT92="В",1,0)</f>
        <v>0</v>
      </c>
      <c r="DX92" s="29">
        <f>IF(DT92="П",1,0)</f>
        <v>0</v>
      </c>
      <c r="DY92" s="29">
        <f t="shared" ref="DY92:DY97" si="39">IF(DT92="Н",1,0)</f>
        <v>1</v>
      </c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</row>
    <row r="93" spans="1:166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40">
        <f>MAX(K92:L92)</f>
        <v>153</v>
      </c>
      <c r="L93" s="24"/>
      <c r="M93" s="24"/>
      <c r="N93" s="24">
        <f>L51</f>
        <v>3.5</v>
      </c>
      <c r="O93" s="24"/>
      <c r="P93" s="70"/>
      <c r="Q93" s="70"/>
      <c r="R93" s="70"/>
      <c r="S93" s="79"/>
      <c r="T93" s="71"/>
      <c r="U93" s="24"/>
      <c r="V93" s="24"/>
      <c r="W93" s="24" t="str">
        <f>U66</f>
        <v>В</v>
      </c>
      <c r="X93" s="24"/>
      <c r="Y93" s="24"/>
      <c r="Z93" s="72">
        <f t="shared" si="33"/>
        <v>1</v>
      </c>
      <c r="AA93" s="24"/>
      <c r="AB93" s="24"/>
      <c r="AC93" s="24"/>
      <c r="AD93" s="24"/>
      <c r="AE93" s="70">
        <f>AE92+1</f>
        <v>3.4</v>
      </c>
      <c r="AF93" s="70">
        <f>AF92+1</f>
        <v>3.6</v>
      </c>
      <c r="AG93" s="71" t="s">
        <v>112</v>
      </c>
      <c r="AH93" s="70"/>
      <c r="AI93" s="24"/>
      <c r="AJ93" s="24"/>
      <c r="AK93" s="24"/>
      <c r="AL93" s="24"/>
      <c r="AM93" s="24"/>
      <c r="AN93" s="24"/>
      <c r="AO93" s="56"/>
      <c r="AP93" s="246" t="s">
        <v>66</v>
      </c>
      <c r="AQ93" s="246"/>
      <c r="AR93" s="33">
        <v>1</v>
      </c>
      <c r="AS93" s="46">
        <f>(((POWER(AR58,AR93))*POWER(2.718,-AR58))/FACT(AR93))</f>
        <v>0.19411559014174543</v>
      </c>
      <c r="AT93" s="46"/>
      <c r="AU93" s="46"/>
      <c r="AV93" s="46"/>
      <c r="AW93" s="46"/>
      <c r="AX93" s="56"/>
      <c r="AY93" s="56"/>
      <c r="AZ93" s="56"/>
      <c r="BA93" s="56"/>
      <c r="BB93" s="56"/>
      <c r="BC93" s="26"/>
      <c r="BD93" s="26"/>
      <c r="BE93" s="26"/>
      <c r="BF93" s="26"/>
      <c r="BG93" s="26"/>
      <c r="BH93" s="26"/>
      <c r="BI93" s="2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24"/>
      <c r="CT93" s="24"/>
      <c r="CU93" s="24"/>
      <c r="CV93" s="27"/>
      <c r="CW93" s="49">
        <v>2</v>
      </c>
      <c r="CX93" s="49">
        <v>7</v>
      </c>
      <c r="CY93" s="52"/>
      <c r="CZ93" s="53">
        <f t="shared" si="34"/>
        <v>0.20466645298264949</v>
      </c>
      <c r="DA93" s="53">
        <f t="shared" si="35"/>
        <v>1.1679919870538845E-2</v>
      </c>
      <c r="DB93" s="54">
        <f t="shared" si="36"/>
        <v>2.390487771024752E-3</v>
      </c>
      <c r="DC93" s="52" t="str">
        <f t="shared" si="37"/>
        <v/>
      </c>
      <c r="DD93" s="27"/>
      <c r="DE93" s="27"/>
      <c r="DF93" s="27"/>
      <c r="DG93" s="24"/>
      <c r="DH93" s="24"/>
      <c r="DI93" s="24"/>
      <c r="DJ93" s="24"/>
      <c r="DK93" s="24"/>
      <c r="DL93" s="24"/>
      <c r="DM93" s="24"/>
      <c r="DN93" s="24"/>
      <c r="DO93" s="24" t="str">
        <f t="shared" si="38"/>
        <v>Каманда 1</v>
      </c>
      <c r="DP93" s="24">
        <f t="shared" si="38"/>
        <v>2</v>
      </c>
      <c r="DQ93" s="24">
        <f>VALUE(LEFT(DS79,FIND(":",DS79,1)-1))</f>
        <v>3</v>
      </c>
      <c r="DR93" s="24">
        <f>VALUE(LEFT(RIGHT(DS79,LEN(DS79)-FIND(":",DS79,1)),4))</f>
        <v>3</v>
      </c>
      <c r="DS93" s="24" t="str">
        <f>IF(DO93=$DQ$75,"Дома","В гостях")</f>
        <v>Дома</v>
      </c>
      <c r="DT93" s="24" t="str">
        <f>IF(DS93="Дома",IF(DQ93&gt;DR93,"В",IF(DQ93=DR93,"Н","П")),IF(DQ93&lt;DR93,"В",IF(DQ93=DR93,"Н","П")))</f>
        <v>Н</v>
      </c>
      <c r="DU93" s="29">
        <f>IFERROR(IF(DS93="Дома",DQ93,DR93),"")</f>
        <v>3</v>
      </c>
      <c r="DV93" s="29">
        <f>IFERROR(IF(DS93="Дома",DR93,DQ93),"")</f>
        <v>3</v>
      </c>
      <c r="DW93" s="29">
        <f>IF(DT93="В",1,0)</f>
        <v>0</v>
      </c>
      <c r="DX93" s="29">
        <f>IF(DT93="П",1,0)</f>
        <v>0</v>
      </c>
      <c r="DY93" s="29">
        <f t="shared" si="39"/>
        <v>1</v>
      </c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</row>
    <row r="94" spans="1:166">
      <c r="A94" s="24"/>
      <c r="B94" s="24"/>
      <c r="C94" s="24"/>
      <c r="D94" s="24"/>
      <c r="E94" s="24"/>
      <c r="F94" s="24"/>
      <c r="G94" s="24"/>
      <c r="H94" s="254"/>
      <c r="I94" s="254"/>
      <c r="J94" s="24"/>
      <c r="K94" s="24" t="str">
        <f>IF((K93/100&gt;0.99),"99%",(K93/100))</f>
        <v>99%</v>
      </c>
      <c r="L94" s="24"/>
      <c r="M94" s="24"/>
      <c r="N94" s="24"/>
      <c r="O94" s="24"/>
      <c r="P94" s="70"/>
      <c r="Q94" s="70"/>
      <c r="R94" s="70"/>
      <c r="S94" s="79"/>
      <c r="T94" s="71"/>
      <c r="U94" s="24"/>
      <c r="V94" s="24"/>
      <c r="W94" s="24" t="str">
        <f>U67</f>
        <v>П</v>
      </c>
      <c r="X94" s="24"/>
      <c r="Y94" s="24"/>
      <c r="Z94" s="72">
        <f t="shared" si="33"/>
        <v>-1</v>
      </c>
      <c r="AA94" s="24"/>
      <c r="AB94" s="24"/>
      <c r="AC94" s="24"/>
      <c r="AD94" s="24"/>
      <c r="AE94" s="70">
        <f>(AE102+AH102)/10</f>
        <v>2.8</v>
      </c>
      <c r="AF94" s="70">
        <f>(AG102+AF102)/10</f>
        <v>2.7</v>
      </c>
      <c r="AG94" s="70"/>
      <c r="AH94" s="70"/>
      <c r="AI94" s="24"/>
      <c r="AJ94" s="24"/>
      <c r="AK94" s="24"/>
      <c r="AL94" s="24"/>
      <c r="AM94" s="24"/>
      <c r="AN94" s="24"/>
      <c r="AO94" s="56"/>
      <c r="AP94" s="246" t="s">
        <v>67</v>
      </c>
      <c r="AQ94" s="246"/>
      <c r="AR94" s="45" t="str">
        <f>CONCATENATE(AR92,"-",AR93)</f>
        <v>2-1</v>
      </c>
      <c r="AS94" s="41">
        <f>AS92*AS93</f>
        <v>3.9728949302944801E-2</v>
      </c>
      <c r="AT94" s="41"/>
      <c r="AU94" s="41"/>
      <c r="AV94" s="41"/>
      <c r="AW94" s="45" t="str">
        <f>CONCATENATE("la quota è circa ",ROUNDUP(1/AS94,0)," a 1")</f>
        <v>la quota è circa 26 a 1</v>
      </c>
      <c r="AX94" s="56"/>
      <c r="AY94" s="56"/>
      <c r="AZ94" s="56"/>
      <c r="BA94" s="56"/>
      <c r="BB94" s="56"/>
      <c r="BC94" s="26"/>
      <c r="BD94" s="26"/>
      <c r="BE94" s="26"/>
      <c r="BF94" s="26"/>
      <c r="BG94" s="26"/>
      <c r="BH94" s="26"/>
      <c r="BI94" s="2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24"/>
      <c r="CT94" s="24"/>
      <c r="CU94" s="24"/>
      <c r="CV94" s="27"/>
      <c r="CW94" s="49">
        <v>3</v>
      </c>
      <c r="CX94" s="49">
        <v>7</v>
      </c>
      <c r="CY94" s="52"/>
      <c r="CZ94" s="53">
        <f t="shared" si="34"/>
        <v>7.6408809113522463E-2</v>
      </c>
      <c r="DA94" s="53">
        <f t="shared" si="35"/>
        <v>1.1679919870538845E-2</v>
      </c>
      <c r="DB94" s="54">
        <f t="shared" si="36"/>
        <v>8.9244876784924058E-4</v>
      </c>
      <c r="DC94" s="52" t="str">
        <f t="shared" si="37"/>
        <v/>
      </c>
      <c r="DD94" s="27"/>
      <c r="DE94" s="27"/>
      <c r="DF94" s="27"/>
      <c r="DG94" s="24"/>
      <c r="DH94" s="24"/>
      <c r="DI94" s="24"/>
      <c r="DJ94" s="24"/>
      <c r="DK94" s="24"/>
      <c r="DL94" s="24"/>
      <c r="DM94" s="24"/>
      <c r="DN94" s="24"/>
      <c r="DO94" s="24" t="str">
        <f t="shared" si="38"/>
        <v>Каманда 1</v>
      </c>
      <c r="DP94" s="24">
        <f t="shared" si="38"/>
        <v>3</v>
      </c>
      <c r="DQ94" s="24">
        <f>VALUE(LEFT(DS80,FIND(":",DS80,1)-1))</f>
        <v>4</v>
      </c>
      <c r="DR94" s="24">
        <f>VALUE(LEFT(RIGHT(DS80,LEN(DS80)-FIND(":",DS80,1)),4))</f>
        <v>3</v>
      </c>
      <c r="DS94" s="24" t="str">
        <f>IF(DO94=$DQ$75,"Дома","В гостях")</f>
        <v>Дома</v>
      </c>
      <c r="DT94" s="24" t="str">
        <f>IF(DS94="Дома",IF(DQ94&gt;DR94,"В",IF(DQ94=DR94,"Н","П")),IF(DQ94&lt;DR94,"В",IF(DQ94=DR94,"Н","П")))</f>
        <v>В</v>
      </c>
      <c r="DU94" s="29">
        <f>IFERROR(IF(DS94="Дома",DQ94,DR94),"")</f>
        <v>4</v>
      </c>
      <c r="DV94" s="29">
        <f>IFERROR(IF(DS94="Дома",DR94,DQ94),"")</f>
        <v>3</v>
      </c>
      <c r="DW94" s="29">
        <f>IF(DT94="В",1,0)</f>
        <v>1</v>
      </c>
      <c r="DX94" s="29">
        <f>IF(DT94="П",1,0)</f>
        <v>0</v>
      </c>
      <c r="DY94" s="29">
        <f t="shared" si="39"/>
        <v>0</v>
      </c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</row>
    <row r="95" spans="1:166">
      <c r="A95" s="24"/>
      <c r="B95" s="24"/>
      <c r="C95" s="24"/>
      <c r="D95" s="24"/>
      <c r="E95" s="24"/>
      <c r="F95" s="24"/>
      <c r="G95" s="24"/>
      <c r="H95" s="24" t="s">
        <v>151</v>
      </c>
      <c r="I95" s="43">
        <f>K92-K88</f>
        <v>100.36842105263158</v>
      </c>
      <c r="J95" s="24"/>
      <c r="K95" s="24"/>
      <c r="L95" s="24" t="str">
        <f>IF(I95&lt;I96,N95,N96)</f>
        <v>ТБ 3,5</v>
      </c>
      <c r="M95" s="24"/>
      <c r="N95" s="24" t="str">
        <f>O95&amp;N93</f>
        <v>ТМ 3,5</v>
      </c>
      <c r="O95" s="24" t="s">
        <v>155</v>
      </c>
      <c r="P95" s="70"/>
      <c r="Q95" s="70"/>
      <c r="R95" s="70"/>
      <c r="S95" s="70"/>
      <c r="T95" s="70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75" t="s">
        <v>113</v>
      </c>
      <c r="AF95" s="75" t="s">
        <v>113</v>
      </c>
      <c r="AG95" s="75" t="s">
        <v>114</v>
      </c>
      <c r="AH95" s="75" t="s">
        <v>114</v>
      </c>
      <c r="AI95" s="24"/>
      <c r="AJ95" s="24"/>
      <c r="AK95" s="24"/>
      <c r="AL95" s="24"/>
      <c r="AM95" s="24"/>
      <c r="AN95" s="24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26"/>
      <c r="BD95" s="26"/>
      <c r="BE95" s="26"/>
      <c r="BF95" s="26"/>
      <c r="BG95" s="26"/>
      <c r="BH95" s="26"/>
      <c r="BI95" s="2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24"/>
      <c r="CT95" s="24"/>
      <c r="CU95" s="24"/>
      <c r="CV95" s="27"/>
      <c r="CW95" s="49">
        <v>4</v>
      </c>
      <c r="CX95" s="49">
        <v>7</v>
      </c>
      <c r="CY95" s="52"/>
      <c r="CZ95" s="53">
        <f t="shared" si="34"/>
        <v>2.1394466551786288E-2</v>
      </c>
      <c r="DA95" s="53">
        <f t="shared" si="35"/>
        <v>1.1679919870538845E-2</v>
      </c>
      <c r="DB95" s="54">
        <f t="shared" si="36"/>
        <v>2.4988565499778733E-4</v>
      </c>
      <c r="DC95" s="52" t="str">
        <f t="shared" si="37"/>
        <v/>
      </c>
      <c r="DD95" s="27"/>
      <c r="DE95" s="27"/>
      <c r="DF95" s="27"/>
      <c r="DG95" s="24"/>
      <c r="DH95" s="24"/>
      <c r="DI95" s="24"/>
      <c r="DJ95" s="24"/>
      <c r="DK95" s="24"/>
      <c r="DL95" s="24"/>
      <c r="DM95" s="24"/>
      <c r="DN95" s="24"/>
      <c r="DO95" s="24" t="str">
        <f t="shared" si="38"/>
        <v>Каманда 1</v>
      </c>
      <c r="DP95" s="24">
        <f t="shared" si="38"/>
        <v>4</v>
      </c>
      <c r="DQ95" s="24">
        <f>VALUE(LEFT(DS81,FIND(":",DS81,1)-1))</f>
        <v>1</v>
      </c>
      <c r="DR95" s="24">
        <f>VALUE(LEFT(RIGHT(DS81,LEN(DS81)-FIND(":",DS81,1)),4))</f>
        <v>4</v>
      </c>
      <c r="DS95" s="24" t="str">
        <f>IF(DO95=$DQ$75,"Дома","В гостях")</f>
        <v>Дома</v>
      </c>
      <c r="DT95" s="24" t="str">
        <f>IF(DS95="Дома",IF(DQ95&gt;DR95,"В",IF(DQ95=DR95,"Н","П")),IF(DQ95&lt;DR95,"В",IF(DQ95=DR95,"Н","П")))</f>
        <v>П</v>
      </c>
      <c r="DU95" s="29">
        <f>IFERROR(IF(DS95="Дома",DQ95,DR95),"")</f>
        <v>1</v>
      </c>
      <c r="DV95" s="29">
        <f>IFERROR(IF(DS95="Дома",DR95,DQ95),"")</f>
        <v>4</v>
      </c>
      <c r="DW95" s="29">
        <f>IF(DT95="В",1,0)</f>
        <v>0</v>
      </c>
      <c r="DX95" s="29">
        <f>IF(DT95="П",1,0)</f>
        <v>1</v>
      </c>
      <c r="DY95" s="29">
        <f t="shared" si="39"/>
        <v>0</v>
      </c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</row>
    <row r="96" spans="1:166">
      <c r="A96" s="24"/>
      <c r="B96" s="24"/>
      <c r="C96" s="24"/>
      <c r="D96" s="24"/>
      <c r="E96" s="24"/>
      <c r="F96" s="24"/>
      <c r="G96" s="24"/>
      <c r="H96" s="24" t="s">
        <v>152</v>
      </c>
      <c r="I96" s="86">
        <f>L92-L88</f>
        <v>-105.63157894736842</v>
      </c>
      <c r="J96" s="24"/>
      <c r="K96" s="24"/>
      <c r="L96" s="24"/>
      <c r="M96" s="24"/>
      <c r="N96" s="24" t="str">
        <f>O96&amp;N93</f>
        <v>ТБ 3,5</v>
      </c>
      <c r="O96" s="24" t="s">
        <v>156</v>
      </c>
      <c r="P96" s="70"/>
      <c r="Q96" s="70"/>
      <c r="R96" s="70"/>
      <c r="S96" s="70"/>
      <c r="T96" s="70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87">
        <f t="shared" ref="AE96:AF100" si="40">V51</f>
        <v>1</v>
      </c>
      <c r="AF96" s="87">
        <f t="shared" si="40"/>
        <v>1</v>
      </c>
      <c r="AG96" s="87">
        <f>W63</f>
        <v>5</v>
      </c>
      <c r="AH96" s="87">
        <f>V63</f>
        <v>5</v>
      </c>
      <c r="AI96" s="24"/>
      <c r="AJ96" s="24"/>
      <c r="AK96" s="24"/>
      <c r="AL96" s="24"/>
      <c r="AM96" s="24"/>
      <c r="AN96" s="24"/>
      <c r="AO96" s="56"/>
      <c r="AP96" s="241"/>
      <c r="AQ96" s="241"/>
      <c r="AR96" s="241"/>
      <c r="AS96" s="45" t="s">
        <v>64</v>
      </c>
      <c r="AT96" s="45"/>
      <c r="AU96" s="45"/>
      <c r="AV96" s="45"/>
      <c r="AW96" s="45"/>
      <c r="AX96" s="56"/>
      <c r="AY96" s="56"/>
      <c r="AZ96" s="56"/>
      <c r="BA96" s="56"/>
      <c r="BB96" s="56"/>
      <c r="BC96" s="26"/>
      <c r="BD96" s="26"/>
      <c r="BE96" s="26"/>
      <c r="BF96" s="26"/>
      <c r="BG96" s="26"/>
      <c r="BH96" s="26"/>
      <c r="BI96" s="2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24"/>
      <c r="CT96" s="24"/>
      <c r="CU96" s="24"/>
      <c r="CV96" s="27"/>
      <c r="CW96" s="49">
        <v>5</v>
      </c>
      <c r="CX96" s="49">
        <v>7</v>
      </c>
      <c r="CY96" s="52"/>
      <c r="CZ96" s="53">
        <f t="shared" si="34"/>
        <v>4.7923605076001276E-3</v>
      </c>
      <c r="DA96" s="53">
        <f t="shared" si="35"/>
        <v>1.1679919870538845E-2</v>
      </c>
      <c r="DB96" s="54">
        <f t="shared" si="36"/>
        <v>5.597438671950435E-5</v>
      </c>
      <c r="DC96" s="52" t="str">
        <f t="shared" si="37"/>
        <v/>
      </c>
      <c r="DD96" s="27"/>
      <c r="DE96" s="27"/>
      <c r="DF96" s="27"/>
      <c r="DG96" s="24"/>
      <c r="DH96" s="24"/>
      <c r="DI96" s="24"/>
      <c r="DJ96" s="24"/>
      <c r="DK96" s="24"/>
      <c r="DL96" s="24"/>
      <c r="DM96" s="24"/>
      <c r="DN96" s="24"/>
      <c r="DO96" s="24" t="str">
        <f t="shared" si="38"/>
        <v>Каманда 1</v>
      </c>
      <c r="DP96" s="24">
        <f t="shared" si="38"/>
        <v>5</v>
      </c>
      <c r="DQ96" s="24">
        <f>VALUE(LEFT(DS82,FIND(":",DS82,1)-1))</f>
        <v>3</v>
      </c>
      <c r="DR96" s="24">
        <f>VALUE(LEFT(RIGHT(DS82,LEN(DS82)-FIND(":",DS82,1)),4))</f>
        <v>3</v>
      </c>
      <c r="DS96" s="24" t="str">
        <f>IF(DO96=$DQ$75,"Дома","В гостях")</f>
        <v>Дома</v>
      </c>
      <c r="DT96" s="24" t="str">
        <f>IF(DS96="Дома",IF(DQ96&gt;DR96,"В",IF(DQ96=DR96,"Н","П")),IF(DQ96&lt;DR96,"В",IF(DQ96=DR96,"Н","П")))</f>
        <v>Н</v>
      </c>
      <c r="DU96" s="29">
        <f>IFERROR(IF(DS96="Дома",DQ96,DR96),"")</f>
        <v>3</v>
      </c>
      <c r="DV96" s="29">
        <f>IFERROR(IF(DS96="Дома",DR96,DQ96),"")</f>
        <v>3</v>
      </c>
      <c r="DW96" s="29">
        <f>IF(DT96="В",1,0)</f>
        <v>0</v>
      </c>
      <c r="DX96" s="29">
        <f>IF(DT96="П",1,0)</f>
        <v>0</v>
      </c>
      <c r="DY96" s="29">
        <f t="shared" si="39"/>
        <v>1</v>
      </c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  <c r="ES96" s="24"/>
      <c r="ET96" s="24"/>
      <c r="EU96" s="24"/>
      <c r="EV96" s="24"/>
      <c r="EW96" s="24"/>
      <c r="EX96" s="24"/>
      <c r="EY96" s="24"/>
      <c r="EZ96" s="24"/>
      <c r="FA96" s="24"/>
      <c r="FB96" s="24"/>
      <c r="FC96" s="24"/>
      <c r="FD96" s="24"/>
      <c r="FE96" s="24"/>
      <c r="FF96" s="24"/>
      <c r="FG96" s="24"/>
      <c r="FH96" s="24"/>
      <c r="FI96" s="24"/>
      <c r="FJ96" s="24"/>
    </row>
    <row r="97" spans="1:166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70"/>
      <c r="Q97" s="70"/>
      <c r="R97" s="70"/>
      <c r="S97" s="70"/>
      <c r="T97" s="70"/>
      <c r="U97" s="24"/>
      <c r="V97" s="24"/>
      <c r="W97" s="24"/>
      <c r="X97" s="24"/>
      <c r="Y97" s="24"/>
      <c r="Z97" s="24"/>
      <c r="AA97" s="24"/>
      <c r="AB97" s="24" t="e">
        <f>IF(DATA!#REF!&gt;DATA!#REF!,"П1",IF(DATA!#REF!&lt;DATA!#REF!,"П2","Х"))</f>
        <v>#REF!</v>
      </c>
      <c r="AC97" s="24"/>
      <c r="AD97" s="24"/>
      <c r="AE97" s="87">
        <f t="shared" si="40"/>
        <v>3</v>
      </c>
      <c r="AF97" s="87">
        <f t="shared" si="40"/>
        <v>3</v>
      </c>
      <c r="AG97" s="87">
        <f>W64</f>
        <v>2</v>
      </c>
      <c r="AH97" s="87">
        <f>V64</f>
        <v>2</v>
      </c>
      <c r="AI97" s="24"/>
      <c r="AJ97" s="24"/>
      <c r="AK97" s="24"/>
      <c r="AL97" s="24"/>
      <c r="AM97" s="24"/>
      <c r="AN97" s="24"/>
      <c r="AO97" s="56"/>
      <c r="AP97" s="246" t="s">
        <v>65</v>
      </c>
      <c r="AQ97" s="246"/>
      <c r="AR97" s="33">
        <v>1</v>
      </c>
      <c r="AS97" s="46">
        <f>(((POWER(AR57,AR97))*POWER(2.718,-AR57))/FACT(AR97))</f>
        <v>0.36547580889758841</v>
      </c>
      <c r="AT97" s="46"/>
      <c r="AU97" s="46"/>
      <c r="AV97" s="46"/>
      <c r="AW97" s="46"/>
      <c r="AX97" s="56"/>
      <c r="AY97" s="56"/>
      <c r="AZ97" s="56"/>
      <c r="BA97" s="56"/>
      <c r="BB97" s="56"/>
      <c r="BC97" s="26"/>
      <c r="BD97" s="26"/>
      <c r="BE97" s="26"/>
      <c r="BF97" s="26"/>
      <c r="BG97" s="26"/>
      <c r="BH97" s="26"/>
      <c r="BI97" s="2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24"/>
      <c r="CT97" s="24"/>
      <c r="CU97" s="24"/>
      <c r="CV97" s="27"/>
      <c r="CW97" s="49">
        <v>6</v>
      </c>
      <c r="CX97" s="49">
        <v>7</v>
      </c>
      <c r="CY97" s="52"/>
      <c r="CZ97" s="53">
        <f t="shared" si="34"/>
        <v>8.9457396141869039E-4</v>
      </c>
      <c r="DA97" s="53">
        <f t="shared" si="35"/>
        <v>1.1679919870538845E-2</v>
      </c>
      <c r="DB97" s="54">
        <f t="shared" si="36"/>
        <v>1.0448552187640812E-5</v>
      </c>
      <c r="DC97" s="52" t="str">
        <f t="shared" si="37"/>
        <v/>
      </c>
      <c r="DD97" s="27"/>
      <c r="DE97" s="27"/>
      <c r="DF97" s="27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9">
        <f>SUM(DU92:DU96)</f>
        <v>12</v>
      </c>
      <c r="DV97" s="29">
        <f>SUM(DV92:DV96)</f>
        <v>14</v>
      </c>
      <c r="DW97" s="29">
        <f>DW92+DW93+DW94+DW95+DW96</f>
        <v>1</v>
      </c>
      <c r="DX97" s="29">
        <f>DX92+DX93+DX94+DX95+DX96</f>
        <v>1</v>
      </c>
      <c r="DY97" s="29">
        <f t="shared" si="39"/>
        <v>0</v>
      </c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</row>
    <row r="98" spans="1:166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70"/>
      <c r="Q98" s="70"/>
      <c r="R98" s="70"/>
      <c r="S98" s="70"/>
      <c r="T98" s="70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87">
        <f t="shared" si="40"/>
        <v>4</v>
      </c>
      <c r="AF98" s="87">
        <f t="shared" si="40"/>
        <v>3</v>
      </c>
      <c r="AG98" s="87">
        <f>W65</f>
        <v>4</v>
      </c>
      <c r="AH98" s="87">
        <f>V65</f>
        <v>1</v>
      </c>
      <c r="AI98" s="24"/>
      <c r="AJ98" s="24"/>
      <c r="AK98" s="24"/>
      <c r="AL98" s="24"/>
      <c r="AM98" s="24"/>
      <c r="AN98" s="24"/>
      <c r="AO98" s="56"/>
      <c r="AP98" s="246" t="s">
        <v>66</v>
      </c>
      <c r="AQ98" s="246"/>
      <c r="AR98" s="33">
        <v>2</v>
      </c>
      <c r="AS98" s="46">
        <f>(((POWER(AR58,AR98))*POWER(2.718,-AR58))/FACT(AR98))</f>
        <v>0.25157380482370206</v>
      </c>
      <c r="AT98" s="46"/>
      <c r="AU98" s="46"/>
      <c r="AV98" s="46"/>
      <c r="AW98" s="46"/>
      <c r="AX98" s="56"/>
      <c r="AY98" s="56"/>
      <c r="AZ98" s="56"/>
      <c r="BA98" s="56"/>
      <c r="BB98" s="56"/>
      <c r="BC98" s="26"/>
      <c r="BD98" s="26"/>
      <c r="BE98" s="26"/>
      <c r="BF98" s="26"/>
      <c r="BG98" s="26"/>
      <c r="BH98" s="26"/>
      <c r="BI98" s="2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24"/>
      <c r="CT98" s="24"/>
      <c r="CU98" s="24"/>
      <c r="CV98" s="27"/>
      <c r="CW98" s="49">
        <v>0</v>
      </c>
      <c r="CX98" s="49">
        <v>6</v>
      </c>
      <c r="CY98" s="52"/>
      <c r="CZ98" s="53">
        <f t="shared" si="34"/>
        <v>0.32631768651570398</v>
      </c>
      <c r="DA98" s="53">
        <f t="shared" si="35"/>
        <v>3.1542993477535461E-2</v>
      </c>
      <c r="DB98" s="54">
        <f t="shared" si="36"/>
        <v>1.0293036657369312E-2</v>
      </c>
      <c r="DC98" s="52" t="str">
        <f t="shared" si="37"/>
        <v/>
      </c>
      <c r="DD98" s="27"/>
      <c r="DE98" s="27"/>
      <c r="DF98" s="27"/>
      <c r="DG98" s="24"/>
      <c r="DH98" s="24"/>
      <c r="DI98" s="24"/>
      <c r="DJ98" s="24"/>
      <c r="DK98" s="24"/>
      <c r="DL98" s="24"/>
      <c r="DM98" s="24"/>
      <c r="DN98" s="24"/>
      <c r="DO98" s="24" t="s">
        <v>4</v>
      </c>
      <c r="DP98" s="24" t="s">
        <v>5</v>
      </c>
      <c r="DQ98" s="24" t="s">
        <v>6</v>
      </c>
      <c r="DR98" s="24" t="s">
        <v>7</v>
      </c>
      <c r="DS98" s="24" t="s">
        <v>8</v>
      </c>
      <c r="DT98" s="24" t="s">
        <v>9</v>
      </c>
      <c r="DU98" s="29" t="s">
        <v>10</v>
      </c>
      <c r="DV98" s="29" t="s">
        <v>11</v>
      </c>
      <c r="DW98" s="29" t="s">
        <v>12</v>
      </c>
      <c r="DX98" s="29" t="s">
        <v>13</v>
      </c>
      <c r="DY98" s="29" t="s">
        <v>111</v>
      </c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</row>
    <row r="99" spans="1:166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70"/>
      <c r="Q99" s="70"/>
      <c r="R99" s="70"/>
      <c r="S99" s="70"/>
      <c r="T99" s="70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87">
        <f t="shared" si="40"/>
        <v>1</v>
      </c>
      <c r="AF99" s="87">
        <f t="shared" si="40"/>
        <v>4</v>
      </c>
      <c r="AG99" s="87">
        <f>W66</f>
        <v>1</v>
      </c>
      <c r="AH99" s="87">
        <f>V66</f>
        <v>4</v>
      </c>
      <c r="AI99" s="24"/>
      <c r="AJ99" s="24"/>
      <c r="AK99" s="24"/>
      <c r="AL99" s="24"/>
      <c r="AM99" s="24"/>
      <c r="AN99" s="24"/>
      <c r="AO99" s="56"/>
      <c r="AP99" s="246" t="s">
        <v>67</v>
      </c>
      <c r="AQ99" s="246"/>
      <c r="AR99" s="45" t="str">
        <f>CONCATENATE(AR97,"-",AR98)</f>
        <v>1-2</v>
      </c>
      <c r="AS99" s="41">
        <f>AS97*AS98</f>
        <v>9.1944139815386544E-2</v>
      </c>
      <c r="AT99" s="41"/>
      <c r="AU99" s="41"/>
      <c r="AV99" s="41"/>
      <c r="AW99" s="45" t="str">
        <f>CONCATENATE("la quota è circa ",ROUNDUP(1/AS99,0)," a 1")</f>
        <v>la quota è circa 11 a 1</v>
      </c>
      <c r="AX99" s="56"/>
      <c r="AY99" s="56"/>
      <c r="AZ99" s="56"/>
      <c r="BA99" s="56"/>
      <c r="BB99" s="56"/>
      <c r="BC99" s="26"/>
      <c r="BD99" s="26"/>
      <c r="BE99" s="26"/>
      <c r="BF99" s="26"/>
      <c r="BG99" s="26"/>
      <c r="BH99" s="26"/>
      <c r="BI99" s="2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24"/>
      <c r="CT99" s="24"/>
      <c r="CU99" s="24"/>
      <c r="CV99" s="27"/>
      <c r="CW99" s="49">
        <v>1</v>
      </c>
      <c r="CX99" s="49">
        <v>6</v>
      </c>
      <c r="CY99" s="52"/>
      <c r="CZ99" s="53">
        <f t="shared" si="34"/>
        <v>0.36547580889758841</v>
      </c>
      <c r="DA99" s="53">
        <f t="shared" si="35"/>
        <v>3.1542993477535461E-2</v>
      </c>
      <c r="DB99" s="54">
        <f t="shared" si="36"/>
        <v>1.1528201056253627E-2</v>
      </c>
      <c r="DC99" s="52" t="str">
        <f t="shared" si="37"/>
        <v/>
      </c>
      <c r="DD99" s="27"/>
      <c r="DE99" s="27"/>
      <c r="DF99" s="27"/>
      <c r="DG99" s="24"/>
      <c r="DH99" s="24"/>
      <c r="DI99" s="24"/>
      <c r="DJ99" s="24"/>
      <c r="DK99" s="24"/>
      <c r="DL99" s="24"/>
      <c r="DM99" s="24"/>
      <c r="DN99" s="24"/>
      <c r="DO99" s="24">
        <f t="shared" ref="DO99:DP103" si="41">DY78</f>
        <v>1</v>
      </c>
      <c r="DP99" s="24" t="str">
        <f t="shared" si="41"/>
        <v>Команда 2</v>
      </c>
      <c r="DQ99" s="24">
        <f>VALUE(LEFT(EA78,FIND(":",EA78,1)-1))</f>
        <v>5</v>
      </c>
      <c r="DR99" s="24">
        <f>VALUE(LEFT(RIGHT(EA78,LEN(EA78)-FIND(":",EA78,1)),4))</f>
        <v>5</v>
      </c>
      <c r="DS99" s="24" t="str">
        <f>IF(DO99=$DX$75,"Дома","В гостях")</f>
        <v>В гостях</v>
      </c>
      <c r="DT99" s="24" t="str">
        <f>IF(DS99="Дома",IF(DQ99&gt;DR99,"В",IF(DQ99=DR99,"Н","П")),IF(DQ99&lt;DR99,"В",IF(DQ99=DR99,"Н","П")))</f>
        <v>Н</v>
      </c>
      <c r="DU99" s="29">
        <f>IFERROR(IF(DS99="Дома",DQ99,DR99),"")</f>
        <v>5</v>
      </c>
      <c r="DV99" s="29">
        <f>IFERROR(IF(DS99="Дома",DR99,DQ99),"")</f>
        <v>5</v>
      </c>
      <c r="DW99" s="29" t="b">
        <f>IF(DT99="В",1)</f>
        <v>0</v>
      </c>
      <c r="DX99" s="29">
        <f>IF(DT99="П",1,0)</f>
        <v>0</v>
      </c>
      <c r="DY99" s="29">
        <f>IF(DT99="Н",1,0)</f>
        <v>1</v>
      </c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</row>
    <row r="100" spans="1:166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70"/>
      <c r="Q100" s="70"/>
      <c r="R100" s="70"/>
      <c r="S100" s="70"/>
      <c r="T100" s="70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87">
        <f t="shared" si="40"/>
        <v>3</v>
      </c>
      <c r="AF100" s="87">
        <f t="shared" si="40"/>
        <v>3</v>
      </c>
      <c r="AG100" s="87">
        <f>W67</f>
        <v>4</v>
      </c>
      <c r="AH100" s="87">
        <f>V67</f>
        <v>1</v>
      </c>
      <c r="AI100" s="24"/>
      <c r="AJ100" s="24"/>
      <c r="AK100" s="24"/>
      <c r="AL100" s="24"/>
      <c r="AM100" s="24"/>
      <c r="AN100" s="24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26"/>
      <c r="BD100" s="26"/>
      <c r="BE100" s="26"/>
      <c r="BF100" s="26"/>
      <c r="BG100" s="26"/>
      <c r="BH100" s="26"/>
      <c r="BI100" s="2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24"/>
      <c r="CT100" s="24"/>
      <c r="CU100" s="24"/>
      <c r="CV100" s="27"/>
      <c r="CW100" s="49">
        <v>2</v>
      </c>
      <c r="CX100" s="49">
        <v>6</v>
      </c>
      <c r="CY100" s="52"/>
      <c r="CZ100" s="53">
        <f t="shared" si="34"/>
        <v>0.20466645298264949</v>
      </c>
      <c r="DA100" s="53">
        <f t="shared" si="35"/>
        <v>3.1542993477535461E-2</v>
      </c>
      <c r="DB100" s="54">
        <f t="shared" si="36"/>
        <v>6.4557925915020306E-3</v>
      </c>
      <c r="DC100" s="52" t="str">
        <f t="shared" si="37"/>
        <v/>
      </c>
      <c r="DD100" s="27"/>
      <c r="DE100" s="27"/>
      <c r="DF100" s="27"/>
      <c r="DG100" s="24"/>
      <c r="DH100" s="24"/>
      <c r="DI100" s="24"/>
      <c r="DJ100" s="24"/>
      <c r="DK100" s="24"/>
      <c r="DL100" s="24"/>
      <c r="DM100" s="24"/>
      <c r="DN100" s="24"/>
      <c r="DO100" s="24">
        <f t="shared" si="41"/>
        <v>2</v>
      </c>
      <c r="DP100" s="24" t="str">
        <f t="shared" si="41"/>
        <v>Команда 2</v>
      </c>
      <c r="DQ100" s="24">
        <f>VALUE(LEFT(EA79,FIND(":",EA79,1)-1))</f>
        <v>2</v>
      </c>
      <c r="DR100" s="24">
        <f>VALUE(LEFT(RIGHT(EA79,LEN(EA79)-FIND(":",EA79,1)),4))</f>
        <v>2</v>
      </c>
      <c r="DS100" s="24" t="str">
        <f>IF(DO100=$DX$75,"Дома","В гостях")</f>
        <v>В гостях</v>
      </c>
      <c r="DT100" s="24" t="str">
        <f>IF(DS100="Дома",IF(DQ100&gt;DR100,"В",IF(DQ100=DR100,"Н","П")),IF(DQ100&lt;DR100,"В",IF(DQ100=DR100,"Н","П")))</f>
        <v>Н</v>
      </c>
      <c r="DU100" s="29">
        <f>IFERROR(IF(DS100="Дома",DQ100,DR100),"")</f>
        <v>2</v>
      </c>
      <c r="DV100" s="29">
        <f>IFERROR(IF(DS100="Дома",DR100,DQ100),"")</f>
        <v>2</v>
      </c>
      <c r="DW100" s="29" t="b">
        <f>IF(DT100="В",1)</f>
        <v>0</v>
      </c>
      <c r="DX100" s="29">
        <f>IF(DT100="П",1,0)</f>
        <v>0</v>
      </c>
      <c r="DY100" s="29">
        <f>IF(DT100="Н",1,0)</f>
        <v>1</v>
      </c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  <c r="ES100" s="24"/>
      <c r="ET100" s="24"/>
      <c r="EU100" s="24"/>
      <c r="EV100" s="24"/>
      <c r="EW100" s="24"/>
      <c r="EX100" s="24"/>
      <c r="EY100" s="24"/>
      <c r="EZ100" s="24"/>
      <c r="FA100" s="24"/>
      <c r="FB100" s="24"/>
      <c r="FC100" s="24"/>
      <c r="FD100" s="24"/>
      <c r="FE100" s="24"/>
      <c r="FF100" s="24"/>
      <c r="FG100" s="24"/>
      <c r="FH100" s="24"/>
      <c r="FI100" s="24"/>
      <c r="FJ100" s="24"/>
    </row>
    <row r="101" spans="1:166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70"/>
      <c r="Q101" s="70"/>
      <c r="R101" s="70"/>
      <c r="S101" s="70"/>
      <c r="T101" s="70"/>
      <c r="U101" s="24"/>
      <c r="V101" s="24"/>
      <c r="W101" s="24"/>
      <c r="X101" s="24"/>
      <c r="Y101" s="24"/>
      <c r="Z101" s="24"/>
      <c r="AA101" s="24"/>
      <c r="AB101" s="24" t="e">
        <f>IF(DATA!#REF!&gt;DATA!#REF!,"П1",IF(DATA!#REF!&lt;DATA!#REF!,"П2","Х"))</f>
        <v>#REF!</v>
      </c>
      <c r="AC101" s="24"/>
      <c r="AD101" s="24"/>
      <c r="AE101" s="75" t="s">
        <v>115</v>
      </c>
      <c r="AF101" s="75" t="s">
        <v>116</v>
      </c>
      <c r="AG101" s="75" t="s">
        <v>117</v>
      </c>
      <c r="AH101" s="75" t="s">
        <v>118</v>
      </c>
      <c r="AI101" s="24"/>
      <c r="AJ101" s="24"/>
      <c r="AK101" s="24"/>
      <c r="AL101" s="24"/>
      <c r="AM101" s="24"/>
      <c r="AN101" s="24"/>
      <c r="AO101" s="56"/>
      <c r="AP101" s="241"/>
      <c r="AQ101" s="241"/>
      <c r="AR101" s="241"/>
      <c r="AS101" s="45" t="s">
        <v>64</v>
      </c>
      <c r="AT101" s="45"/>
      <c r="AU101" s="45"/>
      <c r="AV101" s="45"/>
      <c r="AW101" s="45"/>
      <c r="AX101" s="56"/>
      <c r="AY101" s="56"/>
      <c r="AZ101" s="56"/>
      <c r="BA101" s="56"/>
      <c r="BB101" s="56"/>
      <c r="BC101" s="26"/>
      <c r="BD101" s="26"/>
      <c r="BE101" s="26"/>
      <c r="BF101" s="26"/>
      <c r="BG101" s="26"/>
      <c r="BH101" s="26"/>
      <c r="BI101" s="2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24"/>
      <c r="CT101" s="24"/>
      <c r="CU101" s="24"/>
      <c r="CV101" s="27"/>
      <c r="CW101" s="49">
        <v>3</v>
      </c>
      <c r="CX101" s="49">
        <v>6</v>
      </c>
      <c r="CY101" s="52"/>
      <c r="CZ101" s="53">
        <f t="shared" si="34"/>
        <v>7.6408809113522463E-2</v>
      </c>
      <c r="DA101" s="53">
        <f t="shared" si="35"/>
        <v>3.1542993477535461E-2</v>
      </c>
      <c r="DB101" s="54">
        <f t="shared" si="36"/>
        <v>2.4101625674940912E-3</v>
      </c>
      <c r="DC101" s="52" t="str">
        <f t="shared" si="37"/>
        <v/>
      </c>
      <c r="DD101" s="27"/>
      <c r="DE101" s="27"/>
      <c r="DF101" s="27"/>
      <c r="DG101" s="24"/>
      <c r="DH101" s="24"/>
      <c r="DI101" s="24"/>
      <c r="DJ101" s="24"/>
      <c r="DK101" s="24"/>
      <c r="DL101" s="24"/>
      <c r="DM101" s="24"/>
      <c r="DN101" s="24"/>
      <c r="DO101" s="24">
        <f t="shared" si="41"/>
        <v>3</v>
      </c>
      <c r="DP101" s="24" t="str">
        <f t="shared" si="41"/>
        <v>Команда 2</v>
      </c>
      <c r="DQ101" s="24">
        <f>VALUE(LEFT(EA80,FIND(":",EA80,1)-1))</f>
        <v>4</v>
      </c>
      <c r="DR101" s="24">
        <f>VALUE(LEFT(RIGHT(EA80,LEN(EA80)-FIND(":",EA80,1)),4))</f>
        <v>1</v>
      </c>
      <c r="DS101" s="24" t="str">
        <f>IF(DO101=$DX$75,"Дома","В гостях")</f>
        <v>В гостях</v>
      </c>
      <c r="DT101" s="24" t="str">
        <f>IF(DS101="Дома",IF(DQ101&gt;DR101,"В",IF(DQ101=DR101,"Н","П")),IF(DQ101&lt;DR101,"В",IF(DQ101=DR101,"Н","П")))</f>
        <v>П</v>
      </c>
      <c r="DU101" s="29">
        <f>IFERROR(IF(DS101="Дома",DQ101,DR101),"")</f>
        <v>1</v>
      </c>
      <c r="DV101" s="29">
        <f>IFERROR(IF(DS101="Дома",DR101,DQ101),"")</f>
        <v>4</v>
      </c>
      <c r="DW101" s="29">
        <f>IF(DT101="В",1,0)</f>
        <v>0</v>
      </c>
      <c r="DX101" s="29">
        <f>IF(DT101="П",1,0)</f>
        <v>1</v>
      </c>
      <c r="DY101" s="29" t="b">
        <f>IF(DT101="Н",1)</f>
        <v>0</v>
      </c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  <c r="FC101" s="24"/>
      <c r="FD101" s="24"/>
      <c r="FE101" s="24"/>
      <c r="FF101" s="24"/>
      <c r="FG101" s="24"/>
      <c r="FH101" s="24"/>
      <c r="FI101" s="24"/>
      <c r="FJ101" s="24"/>
    </row>
    <row r="102" spans="1:166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70"/>
      <c r="Q102" s="70"/>
      <c r="R102" s="70"/>
      <c r="S102" s="70"/>
      <c r="T102" s="70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75">
        <f>SUM(AE96:AE100)</f>
        <v>12</v>
      </c>
      <c r="AF102" s="79">
        <f>SUM(AF96:AF100)</f>
        <v>14</v>
      </c>
      <c r="AG102" s="79">
        <f>SUM(AH96:AH100)</f>
        <v>13</v>
      </c>
      <c r="AH102" s="79">
        <f>SUM(AG96:AG100)</f>
        <v>16</v>
      </c>
      <c r="AI102" s="24"/>
      <c r="AJ102" s="24"/>
      <c r="AK102" s="24"/>
      <c r="AL102" s="24"/>
      <c r="AM102" s="24"/>
      <c r="AN102" s="24"/>
      <c r="AO102" s="56"/>
      <c r="AP102" s="246" t="s">
        <v>65</v>
      </c>
      <c r="AQ102" s="246"/>
      <c r="AR102" s="33">
        <v>2</v>
      </c>
      <c r="AS102" s="46">
        <f>(((POWER(AR57,AR102))*POWER(2.718,-AR57))/FACT(AR102))</f>
        <v>0.20466645298264949</v>
      </c>
      <c r="AT102" s="46"/>
      <c r="AU102" s="46"/>
      <c r="AV102" s="46"/>
      <c r="AW102" s="46"/>
      <c r="AX102" s="56"/>
      <c r="AY102" s="56"/>
      <c r="AZ102" s="56"/>
      <c r="BA102" s="56"/>
      <c r="BB102" s="56"/>
      <c r="BC102" s="26"/>
      <c r="BD102" s="26"/>
      <c r="BE102" s="26"/>
      <c r="BF102" s="26"/>
      <c r="BG102" s="26"/>
      <c r="BH102" s="26"/>
      <c r="BI102" s="2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24"/>
      <c r="CT102" s="24"/>
      <c r="CU102" s="24"/>
      <c r="CV102" s="27"/>
      <c r="CW102" s="49">
        <v>4</v>
      </c>
      <c r="CX102" s="49">
        <v>6</v>
      </c>
      <c r="CY102" s="52"/>
      <c r="CZ102" s="53">
        <f t="shared" si="34"/>
        <v>2.1394466551786288E-2</v>
      </c>
      <c r="DA102" s="53">
        <f t="shared" si="35"/>
        <v>3.1542993477535461E-2</v>
      </c>
      <c r="DB102" s="54">
        <f t="shared" si="36"/>
        <v>6.748455188983455E-4</v>
      </c>
      <c r="DC102" s="52" t="str">
        <f t="shared" si="37"/>
        <v/>
      </c>
      <c r="DD102" s="27"/>
      <c r="DE102" s="27"/>
      <c r="DF102" s="27"/>
      <c r="DG102" s="24"/>
      <c r="DH102" s="24"/>
      <c r="DI102" s="24"/>
      <c r="DJ102" s="24"/>
      <c r="DK102" s="24"/>
      <c r="DL102" s="24"/>
      <c r="DM102" s="24"/>
      <c r="DN102" s="24"/>
      <c r="DO102" s="24">
        <f t="shared" si="41"/>
        <v>4</v>
      </c>
      <c r="DP102" s="24" t="str">
        <f t="shared" si="41"/>
        <v>Команда 2</v>
      </c>
      <c r="DQ102" s="24">
        <f>VALUE(LEFT(EA81,FIND(":",EA81,1)-1))</f>
        <v>1</v>
      </c>
      <c r="DR102" s="24">
        <f>VALUE(LEFT(RIGHT(EA81,LEN(EA81)-FIND(":",EA81,1)),4))</f>
        <v>4</v>
      </c>
      <c r="DS102" s="24" t="str">
        <f>IF(DO102=$DX$75,"Дома","В гостях")</f>
        <v>В гостях</v>
      </c>
      <c r="DT102" s="24" t="str">
        <f>IF(DS102="Дома",IF(DQ102&gt;DR102,"В",IF(DQ102=DR102,"Н","П")),IF(DQ102&lt;DR102,"В",IF(DQ102=DR102,"Н","П")))</f>
        <v>В</v>
      </c>
      <c r="DU102" s="29">
        <f>IFERROR(IF(DS102="Дома",DQ102,DR102),"")</f>
        <v>4</v>
      </c>
      <c r="DV102" s="29">
        <f>IFERROR(IF(DS102="Дома",DR102,DQ102),"")</f>
        <v>1</v>
      </c>
      <c r="DW102" s="29">
        <f>IF(DT102="В",1)</f>
        <v>1</v>
      </c>
      <c r="DX102" s="29">
        <f>IF(DT102="П",1,0)</f>
        <v>0</v>
      </c>
      <c r="DY102" s="29" t="b">
        <f>IF(DT102="Н",1)</f>
        <v>0</v>
      </c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</row>
    <row r="103" spans="1:166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70"/>
      <c r="Q103" s="70"/>
      <c r="R103" s="70"/>
      <c r="S103" s="70"/>
      <c r="T103" s="70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75" t="s">
        <v>119</v>
      </c>
      <c r="AF103" s="75" t="s">
        <v>120</v>
      </c>
      <c r="AG103" s="75" t="s">
        <v>121</v>
      </c>
      <c r="AH103" s="75" t="s">
        <v>122</v>
      </c>
      <c r="AI103" s="24"/>
      <c r="AJ103" s="24"/>
      <c r="AK103" s="24"/>
      <c r="AL103" s="24"/>
      <c r="AM103" s="24"/>
      <c r="AN103" s="24"/>
      <c r="AO103" s="56"/>
      <c r="AP103" s="246" t="s">
        <v>66</v>
      </c>
      <c r="AQ103" s="246"/>
      <c r="AR103" s="33">
        <v>2</v>
      </c>
      <c r="AS103" s="46">
        <f>(((POWER(AR58,AR103))*POWER(2.718,-AR58))/FACT(AR103))</f>
        <v>0.25157380482370206</v>
      </c>
      <c r="AT103" s="46"/>
      <c r="AU103" s="46"/>
      <c r="AV103" s="46"/>
      <c r="AW103" s="46"/>
      <c r="AX103" s="56"/>
      <c r="AY103" s="56"/>
      <c r="AZ103" s="56"/>
      <c r="BA103" s="56"/>
      <c r="BB103" s="56"/>
      <c r="BC103" s="26"/>
      <c r="BD103" s="26"/>
      <c r="BE103" s="26"/>
      <c r="BF103" s="26"/>
      <c r="BG103" s="26"/>
      <c r="BH103" s="26"/>
      <c r="BI103" s="2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24"/>
      <c r="CT103" s="24"/>
      <c r="CU103" s="24"/>
      <c r="CV103" s="27"/>
      <c r="CW103" s="49">
        <v>5</v>
      </c>
      <c r="CX103" s="49">
        <v>6</v>
      </c>
      <c r="CY103" s="52"/>
      <c r="CZ103" s="53">
        <f t="shared" si="34"/>
        <v>4.7923605076001276E-3</v>
      </c>
      <c r="DA103" s="53">
        <f t="shared" si="35"/>
        <v>3.1542993477535461E-2</v>
      </c>
      <c r="DB103" s="54">
        <f t="shared" si="36"/>
        <v>1.5116539623322937E-4</v>
      </c>
      <c r="DC103" s="52" t="str">
        <f t="shared" si="37"/>
        <v/>
      </c>
      <c r="DD103" s="27"/>
      <c r="DE103" s="27"/>
      <c r="DF103" s="27"/>
      <c r="DG103" s="24"/>
      <c r="DH103" s="24"/>
      <c r="DI103" s="24"/>
      <c r="DJ103" s="24"/>
      <c r="DK103" s="24"/>
      <c r="DL103" s="24"/>
      <c r="DM103" s="24"/>
      <c r="DN103" s="24"/>
      <c r="DO103" s="24">
        <f t="shared" si="41"/>
        <v>5</v>
      </c>
      <c r="DP103" s="24" t="str">
        <f t="shared" si="41"/>
        <v>Команда 2</v>
      </c>
      <c r="DQ103" s="24">
        <f>VALUE(LEFT(EA82,FIND(":",EA82,1)-1))</f>
        <v>4</v>
      </c>
      <c r="DR103" s="24">
        <f>VALUE(LEFT(RIGHT(EA82,LEN(EA82)-FIND(":",EA82,1)),4))</f>
        <v>1</v>
      </c>
      <c r="DS103" s="24" t="str">
        <f>IF(DO103=$DX$75,"Дома","В гостях")</f>
        <v>В гостях</v>
      </c>
      <c r="DT103" s="24" t="str">
        <f>IF(DS103="Дома",IF(DQ103&gt;DR103,"В",IF(DQ103=DR103,"Н","П")),IF(DQ103&lt;DR103,"В",IF(DQ103=DR103,"Н","П")))</f>
        <v>П</v>
      </c>
      <c r="DU103" s="29">
        <f>IFERROR(IF(DS103="Дома",DQ103,DR103),"")</f>
        <v>1</v>
      </c>
      <c r="DV103" s="29">
        <f>IFERROR(IF(DS103="Дома",DR103,DQ103),"")</f>
        <v>4</v>
      </c>
      <c r="DW103" s="29" t="b">
        <f>IF(DT103="В",1)</f>
        <v>0</v>
      </c>
      <c r="DX103" s="29">
        <f>IF(DT103="П",1,0)</f>
        <v>1</v>
      </c>
      <c r="DY103" s="29" t="b">
        <f>IF(DT103="Н",1)</f>
        <v>0</v>
      </c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</row>
    <row r="104" spans="1:166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70"/>
      <c r="Q104" s="70"/>
      <c r="R104" s="70"/>
      <c r="S104" s="70"/>
      <c r="T104" s="70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79">
        <f>Q96+Q97+Q98+Q99+Q100</f>
        <v>0</v>
      </c>
      <c r="AF104" s="79">
        <f>R96+R97+R98+R99+R100</f>
        <v>0</v>
      </c>
      <c r="AG104" s="79">
        <f>Q102+Q103+Q104+Q105+Q106</f>
        <v>0</v>
      </c>
      <c r="AH104" s="79">
        <f>R102+R103+R104+R105+R106</f>
        <v>0</v>
      </c>
      <c r="AI104" s="24"/>
      <c r="AJ104" s="24"/>
      <c r="AK104" s="24"/>
      <c r="AL104" s="24"/>
      <c r="AM104" s="24"/>
      <c r="AN104" s="24"/>
      <c r="AO104" s="56"/>
      <c r="AP104" s="246" t="s">
        <v>67</v>
      </c>
      <c r="AQ104" s="246"/>
      <c r="AR104" s="45" t="str">
        <f>CONCATENATE(AR102,"-",AR103)</f>
        <v>2-2</v>
      </c>
      <c r="AS104" s="41">
        <f>AS102*AS103</f>
        <v>5.1488718296616456E-2</v>
      </c>
      <c r="AT104" s="41"/>
      <c r="AU104" s="41"/>
      <c r="AV104" s="41"/>
      <c r="AW104" s="45" t="str">
        <f>CONCATENATE("la quota è circa ",ROUNDUP(1/AS104,0)," a 1")</f>
        <v>la quota è circa 20 a 1</v>
      </c>
      <c r="AX104" s="56"/>
      <c r="AY104" s="56"/>
      <c r="AZ104" s="56"/>
      <c r="BA104" s="56"/>
      <c r="BB104" s="56"/>
      <c r="BC104" s="26"/>
      <c r="BD104" s="26"/>
      <c r="BE104" s="26"/>
      <c r="BF104" s="26"/>
      <c r="BG104" s="26"/>
      <c r="BH104" s="26"/>
      <c r="BI104" s="2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24"/>
      <c r="CT104" s="24"/>
      <c r="CU104" s="24"/>
      <c r="CV104" s="27"/>
      <c r="CW104" s="49">
        <v>0</v>
      </c>
      <c r="CX104" s="49">
        <v>5</v>
      </c>
      <c r="CY104" s="52"/>
      <c r="CZ104" s="53">
        <f t="shared" si="34"/>
        <v>0.32631768651570398</v>
      </c>
      <c r="DA104" s="53">
        <f t="shared" si="35"/>
        <v>7.3016188605406165E-2</v>
      </c>
      <c r="DB104" s="54">
        <f t="shared" si="36"/>
        <v>2.3826473743910444E-2</v>
      </c>
      <c r="DC104" s="52" t="str">
        <f t="shared" si="37"/>
        <v/>
      </c>
      <c r="DD104" s="27"/>
      <c r="DE104" s="27"/>
      <c r="DF104" s="27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9">
        <f>SUM(DU99:DU103)</f>
        <v>13</v>
      </c>
      <c r="DV104" s="29">
        <f>SUM(DV99:DV103)</f>
        <v>16</v>
      </c>
      <c r="DW104" s="29">
        <f>DW99+DW100+DW101+DW102+DW103</f>
        <v>1</v>
      </c>
      <c r="DX104" s="29">
        <f>DX99+DX100+DX101+DX102+DX103</f>
        <v>2</v>
      </c>
      <c r="DY104" s="29">
        <f>DY99+DY100+DY101+DY102+DY103</f>
        <v>2</v>
      </c>
      <c r="DZ104" s="24">
        <f>SUM(DW105:DY105)</f>
        <v>4.8</v>
      </c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</row>
    <row r="105" spans="1:166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70"/>
      <c r="Q105" s="70"/>
      <c r="R105" s="70"/>
      <c r="S105" s="70"/>
      <c r="T105" s="70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75" t="s">
        <v>123</v>
      </c>
      <c r="AF105" s="75" t="s">
        <v>124</v>
      </c>
      <c r="AG105" s="79"/>
      <c r="AH105" s="24"/>
      <c r="AI105" s="24"/>
      <c r="AJ105" s="24"/>
      <c r="AK105" s="24"/>
      <c r="AL105" s="24"/>
      <c r="AM105" s="24"/>
      <c r="AN105" s="24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26"/>
      <c r="BD105" s="26"/>
      <c r="BE105" s="26"/>
      <c r="BF105" s="26"/>
      <c r="BG105" s="26"/>
      <c r="BH105" s="26"/>
      <c r="BI105" s="2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24"/>
      <c r="CT105" s="24"/>
      <c r="CU105" s="24"/>
      <c r="CV105" s="27"/>
      <c r="CW105" s="49">
        <v>1</v>
      </c>
      <c r="CX105" s="49">
        <v>5</v>
      </c>
      <c r="CY105" s="52"/>
      <c r="CZ105" s="53">
        <f t="shared" si="34"/>
        <v>0.36547580889758841</v>
      </c>
      <c r="DA105" s="53">
        <f t="shared" si="35"/>
        <v>7.3016188605406165E-2</v>
      </c>
      <c r="DB105" s="54">
        <f t="shared" si="36"/>
        <v>2.6685650593179695E-2</v>
      </c>
      <c r="DC105" s="52" t="str">
        <f t="shared" si="37"/>
        <v/>
      </c>
      <c r="DD105" s="27"/>
      <c r="DE105" s="27"/>
      <c r="DF105" s="27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>
        <f>DW104*1.2</f>
        <v>1.2</v>
      </c>
      <c r="DX105" s="24">
        <f>DX104*0.8</f>
        <v>1.6</v>
      </c>
      <c r="DY105" s="24">
        <f>DY104</f>
        <v>2</v>
      </c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</row>
    <row r="106" spans="1:166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70"/>
      <c r="Q106" s="70"/>
      <c r="R106" s="70"/>
      <c r="S106" s="70"/>
      <c r="T106" s="70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79">
        <f>AF102+AF104</f>
        <v>14</v>
      </c>
      <c r="AF106" s="79">
        <f>AH102+AH104</f>
        <v>16</v>
      </c>
      <c r="AG106" s="79"/>
      <c r="AH106" s="24"/>
      <c r="AI106" s="24"/>
      <c r="AJ106" s="24"/>
      <c r="AK106" s="24"/>
      <c r="AL106" s="24"/>
      <c r="AM106" s="24"/>
      <c r="AN106" s="24"/>
      <c r="AO106" s="56"/>
      <c r="AP106" s="88"/>
      <c r="AQ106" s="89"/>
      <c r="AR106" s="61"/>
      <c r="AS106" s="61"/>
      <c r="AT106" s="61"/>
      <c r="AU106" s="61"/>
      <c r="AV106" s="61"/>
      <c r="AW106" s="61"/>
      <c r="AX106" s="56"/>
      <c r="AY106" s="56"/>
      <c r="AZ106" s="56"/>
      <c r="BA106" s="56"/>
      <c r="BB106" s="56"/>
      <c r="BC106" s="26"/>
      <c r="BD106" s="26"/>
      <c r="BE106" s="26"/>
      <c r="BF106" s="26"/>
      <c r="BG106" s="26"/>
      <c r="BH106" s="26"/>
      <c r="BI106" s="2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24"/>
      <c r="CT106" s="24"/>
      <c r="CU106" s="24"/>
      <c r="CV106" s="27"/>
      <c r="CW106" s="49">
        <v>2</v>
      </c>
      <c r="CX106" s="49">
        <v>5</v>
      </c>
      <c r="CY106" s="52"/>
      <c r="CZ106" s="53">
        <f t="shared" si="34"/>
        <v>0.20466645298264949</v>
      </c>
      <c r="DA106" s="53">
        <f t="shared" si="35"/>
        <v>7.3016188605406165E-2</v>
      </c>
      <c r="DB106" s="54">
        <f t="shared" si="36"/>
        <v>1.4943964332180629E-2</v>
      </c>
      <c r="DC106" s="52" t="str">
        <f t="shared" si="37"/>
        <v/>
      </c>
      <c r="DD106" s="27"/>
      <c r="DE106" s="27"/>
      <c r="DF106" s="27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  <c r="ES106" s="24"/>
      <c r="ET106" s="24"/>
      <c r="EU106" s="24"/>
      <c r="EV106" s="24"/>
      <c r="EW106" s="24"/>
      <c r="EX106" s="24"/>
      <c r="EY106" s="24"/>
      <c r="EZ106" s="24"/>
      <c r="FA106" s="24"/>
      <c r="FB106" s="24"/>
      <c r="FC106" s="24"/>
      <c r="FD106" s="24"/>
      <c r="FE106" s="24"/>
      <c r="FF106" s="24"/>
      <c r="FG106" s="24"/>
      <c r="FH106" s="24"/>
      <c r="FI106" s="24"/>
      <c r="FJ106" s="24"/>
    </row>
    <row r="107" spans="1:166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75" t="s">
        <v>123</v>
      </c>
      <c r="AF107" s="75" t="s">
        <v>124</v>
      </c>
      <c r="AG107" s="79"/>
      <c r="AH107" s="24"/>
      <c r="AI107" s="24"/>
      <c r="AJ107" s="24"/>
      <c r="AK107" s="24"/>
      <c r="AL107" s="24"/>
      <c r="AM107" s="24"/>
      <c r="AN107" s="24"/>
      <c r="AO107" s="56"/>
      <c r="AP107" s="61"/>
      <c r="AQ107" s="61"/>
      <c r="AR107" s="61"/>
      <c r="AS107" s="61"/>
      <c r="AT107" s="61"/>
      <c r="AU107" s="61"/>
      <c r="AV107" s="61"/>
      <c r="AW107" s="61"/>
      <c r="AX107" s="56"/>
      <c r="AY107" s="56"/>
      <c r="AZ107" s="56"/>
      <c r="BA107" s="56"/>
      <c r="BB107" s="56"/>
      <c r="BC107" s="26"/>
      <c r="BD107" s="26"/>
      <c r="BE107" s="26"/>
      <c r="BF107" s="26"/>
      <c r="BG107" s="26"/>
      <c r="BH107" s="26"/>
      <c r="BI107" s="26"/>
      <c r="BJ107" s="56"/>
      <c r="BK107" s="56"/>
      <c r="BL107" s="56"/>
      <c r="BM107" s="56"/>
      <c r="BN107" s="56"/>
      <c r="BO107" s="24"/>
      <c r="BP107" s="56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7"/>
      <c r="CW107" s="49">
        <v>3</v>
      </c>
      <c r="CX107" s="49">
        <v>5</v>
      </c>
      <c r="CY107" s="52"/>
      <c r="CZ107" s="53">
        <f t="shared" si="34"/>
        <v>7.6408809113522463E-2</v>
      </c>
      <c r="DA107" s="53">
        <f t="shared" si="35"/>
        <v>7.3016188605406165E-2</v>
      </c>
      <c r="DB107" s="54">
        <f t="shared" si="36"/>
        <v>5.5790800173474335E-3</v>
      </c>
      <c r="DC107" s="52" t="str">
        <f t="shared" si="37"/>
        <v/>
      </c>
      <c r="DD107" s="27"/>
      <c r="DE107" s="27"/>
      <c r="DF107" s="27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  <c r="FC107" s="24"/>
      <c r="FD107" s="24"/>
      <c r="FE107" s="24"/>
      <c r="FF107" s="24"/>
      <c r="FG107" s="24"/>
      <c r="FH107" s="24"/>
      <c r="FI107" s="24"/>
      <c r="FJ107" s="24"/>
    </row>
    <row r="108" spans="1:166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79">
        <f>AF102+AF104</f>
        <v>14</v>
      </c>
      <c r="AF108" s="79">
        <f>AH102+AH104</f>
        <v>16</v>
      </c>
      <c r="AG108" s="79"/>
      <c r="AH108" s="24"/>
      <c r="AI108" s="24"/>
      <c r="AJ108" s="24"/>
      <c r="AK108" s="24"/>
      <c r="AL108" s="24"/>
      <c r="AM108" s="24"/>
      <c r="AN108" s="24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1"/>
      <c r="BE108" s="26"/>
      <c r="BF108" s="26"/>
      <c r="BG108" s="26"/>
      <c r="BH108" s="26"/>
      <c r="BI108" s="26"/>
      <c r="BJ108" s="56"/>
      <c r="BK108" s="56"/>
      <c r="BL108" s="56"/>
      <c r="BM108" s="56"/>
      <c r="BN108" s="56"/>
      <c r="BO108" s="56"/>
      <c r="BP108" s="56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7"/>
      <c r="CW108" s="49">
        <v>4</v>
      </c>
      <c r="CX108" s="49">
        <v>5</v>
      </c>
      <c r="CY108" s="52"/>
      <c r="CZ108" s="53">
        <f t="shared" si="34"/>
        <v>2.1394466551786288E-2</v>
      </c>
      <c r="DA108" s="53">
        <f t="shared" si="35"/>
        <v>7.3016188605406165E-2</v>
      </c>
      <c r="DB108" s="54">
        <f t="shared" si="36"/>
        <v>1.5621424048572813E-3</v>
      </c>
      <c r="DC108" s="52" t="str">
        <f t="shared" si="37"/>
        <v/>
      </c>
      <c r="DD108" s="27"/>
      <c r="DE108" s="27"/>
      <c r="DF108" s="27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  <c r="ES108" s="24"/>
      <c r="ET108" s="24"/>
      <c r="EU108" s="24"/>
      <c r="EV108" s="24"/>
      <c r="EW108" s="24"/>
      <c r="EX108" s="24"/>
      <c r="EY108" s="24"/>
      <c r="EZ108" s="24"/>
      <c r="FA108" s="24"/>
      <c r="FB108" s="24"/>
      <c r="FC108" s="24"/>
      <c r="FD108" s="24"/>
      <c r="FE108" s="24"/>
      <c r="FF108" s="24"/>
      <c r="FG108" s="24"/>
      <c r="FH108" s="24"/>
      <c r="FI108" s="24"/>
      <c r="FJ108" s="24"/>
    </row>
    <row r="109" spans="1:166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75" t="s">
        <v>101</v>
      </c>
      <c r="AF109" s="75" t="s">
        <v>100</v>
      </c>
      <c r="AG109" s="75" t="s">
        <v>99</v>
      </c>
      <c r="AH109" s="24"/>
      <c r="AI109" s="24"/>
      <c r="AJ109" s="24"/>
      <c r="AK109" s="24"/>
      <c r="AL109" s="24"/>
      <c r="AM109" s="24"/>
      <c r="AN109" s="24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1"/>
      <c r="BE109" s="26"/>
      <c r="BF109" s="26"/>
      <c r="BG109" s="26"/>
      <c r="BH109" s="26"/>
      <c r="BI109" s="26"/>
      <c r="BJ109" s="56"/>
      <c r="BK109" s="56"/>
      <c r="BL109" s="56"/>
      <c r="BM109" s="56"/>
      <c r="BN109" s="56"/>
      <c r="BO109" s="56"/>
      <c r="BP109" s="56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7"/>
      <c r="CW109" s="49">
        <v>0</v>
      </c>
      <c r="CX109" s="49">
        <v>4</v>
      </c>
      <c r="CY109" s="52"/>
      <c r="CZ109" s="53">
        <f t="shared" si="34"/>
        <v>0.32631768651570398</v>
      </c>
      <c r="DA109" s="53">
        <f t="shared" si="35"/>
        <v>0.14084912925425572</v>
      </c>
      <c r="DB109" s="54">
        <f t="shared" si="36"/>
        <v>4.5961562006000087E-2</v>
      </c>
      <c r="DC109" s="52" t="str">
        <f t="shared" si="37"/>
        <v/>
      </c>
      <c r="DD109" s="27"/>
      <c r="DE109" s="27"/>
      <c r="DF109" s="27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  <c r="FC109" s="24"/>
      <c r="FD109" s="24"/>
      <c r="FE109" s="24"/>
      <c r="FF109" s="24"/>
      <c r="FG109" s="24"/>
      <c r="FH109" s="24"/>
      <c r="FI109" s="24"/>
      <c r="FJ109" s="24"/>
    </row>
    <row r="110" spans="1:166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79">
        <f>AE102+AF102+AG102+AH102</f>
        <v>55</v>
      </c>
      <c r="AF110" s="79">
        <f>AE102+AF102+AG102+AH102+AE104+AF104+AG104+AH104</f>
        <v>55</v>
      </c>
      <c r="AG110" s="79">
        <f>AE104+AF104+AG104+AH104</f>
        <v>0</v>
      </c>
      <c r="AH110" s="24"/>
      <c r="AI110" s="24"/>
      <c r="AJ110" s="24"/>
      <c r="AK110" s="24"/>
      <c r="AL110" s="24"/>
      <c r="AM110" s="24"/>
      <c r="AN110" s="24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1"/>
      <c r="BE110" s="26"/>
      <c r="BF110" s="26"/>
      <c r="BG110" s="26"/>
      <c r="BH110" s="26"/>
      <c r="BI110" s="26"/>
      <c r="BJ110" s="56"/>
      <c r="BK110" s="56"/>
      <c r="BL110" s="56"/>
      <c r="BM110" s="56"/>
      <c r="BN110" s="56"/>
      <c r="BO110" s="56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7"/>
      <c r="CW110" s="49">
        <v>1</v>
      </c>
      <c r="CX110" s="49">
        <v>4</v>
      </c>
      <c r="CY110" s="52"/>
      <c r="CZ110" s="53">
        <f t="shared" si="34"/>
        <v>0.36547580889758841</v>
      </c>
      <c r="DA110" s="53">
        <f t="shared" si="35"/>
        <v>0.14084912925425572</v>
      </c>
      <c r="DB110" s="54">
        <f t="shared" si="36"/>
        <v>5.1476949446720092E-2</v>
      </c>
      <c r="DC110" s="52" t="str">
        <f t="shared" si="37"/>
        <v/>
      </c>
      <c r="DD110" s="27"/>
      <c r="DE110" s="27"/>
      <c r="DF110" s="27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</row>
    <row r="111" spans="1:166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71" t="s">
        <v>125</v>
      </c>
      <c r="AF111" s="70"/>
      <c r="AG111" s="70"/>
      <c r="AH111" s="24"/>
      <c r="AI111" s="24"/>
      <c r="AJ111" s="24"/>
      <c r="AK111" s="24"/>
      <c r="AL111" s="24"/>
      <c r="AM111" s="24"/>
      <c r="AN111" s="24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1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7"/>
      <c r="CW111" s="49">
        <v>2</v>
      </c>
      <c r="CX111" s="49">
        <v>4</v>
      </c>
      <c r="CY111" s="52"/>
      <c r="CZ111" s="53">
        <f t="shared" si="34"/>
        <v>0.20466645298264949</v>
      </c>
      <c r="DA111" s="53">
        <f t="shared" si="35"/>
        <v>0.14084912925425572</v>
      </c>
      <c r="DB111" s="54">
        <f t="shared" si="36"/>
        <v>2.8827091690163249E-2</v>
      </c>
      <c r="DC111" s="52" t="str">
        <f t="shared" si="37"/>
        <v/>
      </c>
      <c r="DD111" s="27"/>
      <c r="DE111" s="27"/>
      <c r="DF111" s="27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  <c r="FC111" s="24"/>
      <c r="FD111" s="24"/>
      <c r="FE111" s="24"/>
      <c r="FF111" s="24"/>
      <c r="FG111" s="24"/>
      <c r="FH111" s="24"/>
      <c r="FI111" s="24"/>
      <c r="FJ111" s="24"/>
    </row>
    <row r="112" spans="1:166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76">
        <f>AE85+AE110</f>
        <v>68</v>
      </c>
      <c r="AF112" s="90">
        <f>AG110+AG85</f>
        <v>12</v>
      </c>
      <c r="AG112" s="70"/>
      <c r="AH112" s="24"/>
      <c r="AI112" s="24"/>
      <c r="AJ112" s="24"/>
      <c r="AK112" s="24"/>
      <c r="AL112" s="24"/>
      <c r="AM112" s="24"/>
      <c r="AN112" s="24"/>
      <c r="AO112" s="56"/>
      <c r="AP112" s="61"/>
      <c r="AQ112" s="61"/>
      <c r="AR112" s="61"/>
      <c r="AS112" s="61"/>
      <c r="AT112" s="61"/>
      <c r="AU112" s="61"/>
      <c r="AV112" s="61"/>
      <c r="AW112" s="61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7"/>
      <c r="CW112" s="49">
        <v>3</v>
      </c>
      <c r="CX112" s="49">
        <v>4</v>
      </c>
      <c r="CY112" s="52"/>
      <c r="CZ112" s="53">
        <f t="shared" si="34"/>
        <v>7.6408809113522463E-2</v>
      </c>
      <c r="DA112" s="53">
        <f t="shared" si="35"/>
        <v>0.14084912925425572</v>
      </c>
      <c r="DB112" s="54">
        <f t="shared" si="36"/>
        <v>1.0762114230994277E-2</v>
      </c>
      <c r="DC112" s="52" t="str">
        <f t="shared" si="37"/>
        <v/>
      </c>
      <c r="DD112" s="27"/>
      <c r="DE112" s="27"/>
      <c r="DF112" s="27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  <c r="ES112" s="24"/>
      <c r="ET112" s="24"/>
      <c r="EU112" s="24"/>
      <c r="EV112" s="24"/>
      <c r="EW112" s="24"/>
      <c r="EX112" s="24"/>
      <c r="EY112" s="24"/>
      <c r="EZ112" s="24"/>
      <c r="FA112" s="24"/>
      <c r="FB112" s="24"/>
      <c r="FC112" s="24"/>
      <c r="FD112" s="24"/>
      <c r="FE112" s="24"/>
      <c r="FF112" s="24"/>
      <c r="FG112" s="24"/>
      <c r="FH112" s="24"/>
      <c r="FI112" s="24"/>
      <c r="FJ112" s="24"/>
    </row>
    <row r="113" spans="1:166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 t="e">
        <f>IF(DATA!#REF!=50%,1,"0")</f>
        <v>#REF!</v>
      </c>
      <c r="Y113" s="24" t="e">
        <f>IF(DATA!#REF!=50%,1,"0")</f>
        <v>#REF!</v>
      </c>
      <c r="Z113" s="24"/>
      <c r="AA113" s="24"/>
      <c r="AB113" s="24"/>
      <c r="AC113" s="24"/>
      <c r="AD113" s="24"/>
      <c r="AE113" s="91">
        <f>AE112/(AE112+AF112)</f>
        <v>0.85</v>
      </c>
      <c r="AF113" s="91">
        <f>AF112/(AF112+AE112)</f>
        <v>0.15</v>
      </c>
      <c r="AG113" s="70"/>
      <c r="AH113" s="24"/>
      <c r="AI113" s="24"/>
      <c r="AJ113" s="24"/>
      <c r="AK113" s="24"/>
      <c r="AL113" s="24"/>
      <c r="AM113" s="24"/>
      <c r="AN113" s="24"/>
      <c r="AO113" s="56"/>
      <c r="AP113" s="61"/>
      <c r="AQ113" s="61"/>
      <c r="AR113" s="61"/>
      <c r="AS113" s="61"/>
      <c r="AT113" s="61"/>
      <c r="AU113" s="61"/>
      <c r="AV113" s="61"/>
      <c r="AW113" s="61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7"/>
      <c r="CW113" s="49">
        <v>0</v>
      </c>
      <c r="CX113" s="49">
        <v>3</v>
      </c>
      <c r="CY113" s="52"/>
      <c r="CZ113" s="53">
        <f t="shared" si="34"/>
        <v>0.32631768651570398</v>
      </c>
      <c r="DA113" s="53">
        <f t="shared" si="35"/>
        <v>0.21735976736767859</v>
      </c>
      <c r="DB113" s="54">
        <f t="shared" si="36"/>
        <v>7.0928336429012487E-2</v>
      </c>
      <c r="DC113" s="52" t="str">
        <f t="shared" si="37"/>
        <v/>
      </c>
      <c r="DD113" s="27"/>
      <c r="DE113" s="27"/>
      <c r="DF113" s="27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  <c r="FC113" s="24"/>
      <c r="FD113" s="24"/>
      <c r="FE113" s="24"/>
      <c r="FF113" s="24"/>
      <c r="FG113" s="24"/>
      <c r="FH113" s="24"/>
      <c r="FI113" s="24"/>
      <c r="FJ113" s="24"/>
    </row>
    <row r="114" spans="1:166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 t="e">
        <f>SUM(X113:Y113)</f>
        <v>#REF!</v>
      </c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56"/>
      <c r="AP114" s="61"/>
      <c r="AQ114" s="61"/>
      <c r="AR114" s="61"/>
      <c r="AS114" s="61"/>
      <c r="AT114" s="61"/>
      <c r="AU114" s="61"/>
      <c r="AV114" s="61"/>
      <c r="AW114" s="61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7"/>
      <c r="CW114" s="49">
        <v>1</v>
      </c>
      <c r="CX114" s="49">
        <v>3</v>
      </c>
      <c r="CY114" s="52"/>
      <c r="CZ114" s="53">
        <f t="shared" si="34"/>
        <v>0.36547580889758841</v>
      </c>
      <c r="DA114" s="53">
        <f t="shared" si="35"/>
        <v>0.21735976736767859</v>
      </c>
      <c r="DB114" s="54">
        <f t="shared" si="36"/>
        <v>7.9439736800493974E-2</v>
      </c>
      <c r="DC114" s="52" t="str">
        <f t="shared" si="37"/>
        <v/>
      </c>
      <c r="DD114" s="27"/>
      <c r="DE114" s="27"/>
      <c r="DF114" s="27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  <c r="ES114" s="24"/>
      <c r="ET114" s="24"/>
      <c r="EU114" s="24"/>
      <c r="EV114" s="24"/>
      <c r="EW114" s="24"/>
      <c r="EX114" s="24"/>
      <c r="EY114" s="24"/>
      <c r="EZ114" s="24"/>
      <c r="FA114" s="24"/>
      <c r="FB114" s="24"/>
      <c r="FC114" s="24"/>
      <c r="FD114" s="24"/>
      <c r="FE114" s="24"/>
      <c r="FF114" s="24"/>
      <c r="FG114" s="24"/>
      <c r="FH114" s="24"/>
      <c r="FI114" s="24"/>
      <c r="FJ114" s="24"/>
    </row>
    <row r="115" spans="1:166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56"/>
      <c r="AP115" s="61"/>
      <c r="AQ115" s="61"/>
      <c r="AR115" s="61"/>
      <c r="AS115" s="61"/>
      <c r="AT115" s="61"/>
      <c r="AU115" s="61"/>
      <c r="AV115" s="61"/>
      <c r="AW115" s="61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7"/>
      <c r="CW115" s="49">
        <v>2</v>
      </c>
      <c r="CX115" s="49">
        <v>3</v>
      </c>
      <c r="CY115" s="52"/>
      <c r="CZ115" s="53">
        <f t="shared" si="34"/>
        <v>0.20466645298264949</v>
      </c>
      <c r="DA115" s="53">
        <f t="shared" si="35"/>
        <v>0.21735976736767859</v>
      </c>
      <c r="DB115" s="54">
        <f t="shared" si="36"/>
        <v>4.448625260827662E-2</v>
      </c>
      <c r="DC115" s="52" t="str">
        <f t="shared" si="37"/>
        <v/>
      </c>
      <c r="DD115" s="27"/>
      <c r="DE115" s="27"/>
      <c r="DF115" s="27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</row>
    <row r="116" spans="1:166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92"/>
      <c r="Q116" s="35"/>
      <c r="R116" s="35"/>
      <c r="S116" s="35"/>
      <c r="T116" s="93"/>
      <c r="U116" s="35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56"/>
      <c r="AP116" s="61"/>
      <c r="AQ116" s="61"/>
      <c r="AR116" s="61"/>
      <c r="AS116" s="61"/>
      <c r="AT116" s="61"/>
      <c r="AU116" s="61"/>
      <c r="AV116" s="61"/>
      <c r="AW116" s="61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7"/>
      <c r="CW116" s="49">
        <v>0</v>
      </c>
      <c r="CX116" s="49">
        <v>2</v>
      </c>
      <c r="CY116" s="52"/>
      <c r="CZ116" s="53">
        <f t="shared" si="34"/>
        <v>0.32631768651570398</v>
      </c>
      <c r="DA116" s="53">
        <f t="shared" si="35"/>
        <v>0.25157380482370206</v>
      </c>
      <c r="DB116" s="54">
        <f t="shared" si="36"/>
        <v>8.2092981978023713E-2</v>
      </c>
      <c r="DC116" s="52" t="str">
        <f t="shared" si="37"/>
        <v/>
      </c>
      <c r="DD116" s="27"/>
      <c r="DE116" s="27"/>
      <c r="DF116" s="27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</row>
    <row r="117" spans="1:166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92"/>
      <c r="Q117" s="35"/>
      <c r="R117" s="35"/>
      <c r="S117" s="35"/>
      <c r="T117" s="93"/>
      <c r="U117" s="35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56"/>
      <c r="AP117" s="61"/>
      <c r="AQ117" s="61"/>
      <c r="AR117" s="61"/>
      <c r="AS117" s="61"/>
      <c r="AT117" s="61"/>
      <c r="AU117" s="61"/>
      <c r="AV117" s="61"/>
      <c r="AW117" s="61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7"/>
      <c r="CW117" s="49">
        <v>1</v>
      </c>
      <c r="CX117" s="49">
        <v>2</v>
      </c>
      <c r="CY117" s="52"/>
      <c r="CZ117" s="53">
        <f t="shared" si="34"/>
        <v>0.36547580889758841</v>
      </c>
      <c r="DA117" s="53">
        <f t="shared" si="35"/>
        <v>0.25157380482370206</v>
      </c>
      <c r="DB117" s="54">
        <f t="shared" si="36"/>
        <v>9.1944139815386544E-2</v>
      </c>
      <c r="DC117" s="52" t="str">
        <f t="shared" si="37"/>
        <v>&lt;-- PRONO</v>
      </c>
      <c r="DD117" s="27"/>
      <c r="DE117" s="27"/>
      <c r="DF117" s="27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24"/>
      <c r="EU117" s="24"/>
      <c r="EV117" s="24"/>
      <c r="EW117" s="24"/>
      <c r="EX117" s="24"/>
      <c r="EY117" s="24"/>
      <c r="EZ117" s="24"/>
      <c r="FA117" s="24"/>
      <c r="FB117" s="24"/>
      <c r="FC117" s="24"/>
      <c r="FD117" s="24"/>
      <c r="FE117" s="24"/>
      <c r="FF117" s="24"/>
      <c r="FG117" s="24"/>
      <c r="FH117" s="24"/>
      <c r="FI117" s="24"/>
      <c r="FJ117" s="24"/>
    </row>
    <row r="118" spans="1:166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92"/>
      <c r="Q118" s="35"/>
      <c r="R118" s="35"/>
      <c r="S118" s="35"/>
      <c r="T118" s="93"/>
      <c r="U118" s="35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56"/>
      <c r="AP118" s="61"/>
      <c r="AQ118" s="61"/>
      <c r="AR118" s="61"/>
      <c r="AS118" s="61"/>
      <c r="AT118" s="61"/>
      <c r="AU118" s="61"/>
      <c r="AV118" s="61"/>
      <c r="AW118" s="61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7"/>
      <c r="CW118" s="49">
        <v>0</v>
      </c>
      <c r="CX118" s="49">
        <v>1</v>
      </c>
      <c r="CY118" s="52"/>
      <c r="CZ118" s="53">
        <f t="shared" si="34"/>
        <v>0.32631768651570398</v>
      </c>
      <c r="DA118" s="53">
        <f t="shared" si="35"/>
        <v>0.19411559014174543</v>
      </c>
      <c r="DB118" s="54">
        <f t="shared" si="36"/>
        <v>6.3343350291684961E-2</v>
      </c>
      <c r="DC118" s="52" t="str">
        <f t="shared" si="37"/>
        <v/>
      </c>
      <c r="DD118" s="27"/>
      <c r="DE118" s="27"/>
      <c r="DF118" s="27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</row>
    <row r="119" spans="1:166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92"/>
      <c r="Q119" s="35"/>
      <c r="R119" s="35"/>
      <c r="S119" s="35"/>
      <c r="T119" s="93"/>
      <c r="U119" s="35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56"/>
      <c r="AP119" s="61"/>
      <c r="AQ119" s="61"/>
      <c r="AR119" s="61"/>
      <c r="AS119" s="61"/>
      <c r="AT119" s="61"/>
      <c r="AU119" s="61"/>
      <c r="AV119" s="61"/>
      <c r="AW119" s="61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7"/>
      <c r="CW119" s="49"/>
      <c r="CX119" s="49"/>
      <c r="CY119" s="52"/>
      <c r="CZ119" s="53"/>
      <c r="DA119" s="53"/>
      <c r="DB119" s="54"/>
      <c r="DC119" s="27"/>
      <c r="DD119" s="27"/>
      <c r="DE119" s="27"/>
      <c r="DF119" s="27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</row>
    <row r="120" spans="1:166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92"/>
      <c r="Q120" s="35"/>
      <c r="R120" s="35"/>
      <c r="S120" s="35"/>
      <c r="T120" s="93"/>
      <c r="U120" s="35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56"/>
      <c r="AP120" s="61"/>
      <c r="AQ120" s="61"/>
      <c r="AR120" s="61"/>
      <c r="AS120" s="61"/>
      <c r="AT120" s="61"/>
      <c r="AU120" s="61"/>
      <c r="AV120" s="61"/>
      <c r="AW120" s="61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7"/>
      <c r="CW120" s="49"/>
      <c r="CX120" s="49"/>
      <c r="CY120" s="52"/>
      <c r="CZ120" s="53"/>
      <c r="DA120" s="53"/>
      <c r="DB120" s="54"/>
      <c r="DC120" s="27"/>
      <c r="DD120" s="27"/>
      <c r="DE120" s="27"/>
      <c r="DF120" s="27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</row>
    <row r="121" spans="1:166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35"/>
      <c r="Q121" s="35"/>
      <c r="R121" s="35"/>
      <c r="S121" s="35"/>
      <c r="T121" s="93"/>
      <c r="U121" s="35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56"/>
      <c r="AP121" s="61"/>
      <c r="AQ121" s="61"/>
      <c r="AR121" s="61"/>
      <c r="AS121" s="61"/>
      <c r="AT121" s="61"/>
      <c r="AU121" s="61"/>
      <c r="AV121" s="61"/>
      <c r="AW121" s="61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7"/>
      <c r="CW121" s="242" t="s">
        <v>126</v>
      </c>
      <c r="CX121" s="242"/>
      <c r="CY121" s="242"/>
      <c r="CZ121" s="242"/>
      <c r="DA121" s="242"/>
      <c r="DB121" s="242"/>
      <c r="DC121" s="242"/>
      <c r="DD121" s="242"/>
      <c r="DE121" s="27"/>
      <c r="DF121" s="27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</row>
    <row r="122" spans="1:166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35"/>
      <c r="Q122" s="35"/>
      <c r="R122" s="35"/>
      <c r="S122" s="35"/>
      <c r="T122" s="93"/>
      <c r="U122" s="35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56"/>
      <c r="AP122" s="61"/>
      <c r="AQ122" s="61"/>
      <c r="AR122" s="61"/>
      <c r="AS122" s="61"/>
      <c r="AT122" s="61"/>
      <c r="AU122" s="61"/>
      <c r="AV122" s="61"/>
      <c r="AW122" s="61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7"/>
      <c r="CW122" s="49" t="s">
        <v>57</v>
      </c>
      <c r="CX122" s="49" t="s">
        <v>58</v>
      </c>
      <c r="CY122" s="52"/>
      <c r="CZ122" s="49" t="s">
        <v>59</v>
      </c>
      <c r="DA122" s="49" t="s">
        <v>60</v>
      </c>
      <c r="DB122" s="50" t="s">
        <v>61</v>
      </c>
      <c r="DC122" s="27"/>
      <c r="DD122" s="27"/>
      <c r="DE122" s="27"/>
      <c r="DF122" s="27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</row>
    <row r="123" spans="1:166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92"/>
      <c r="Q123" s="35"/>
      <c r="R123" s="35"/>
      <c r="S123" s="35"/>
      <c r="T123" s="93"/>
      <c r="U123" s="35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56"/>
      <c r="AP123" s="61"/>
      <c r="AQ123" s="61"/>
      <c r="AR123" s="61"/>
      <c r="AS123" s="61"/>
      <c r="AT123" s="61"/>
      <c r="AU123" s="61"/>
      <c r="AV123" s="61"/>
      <c r="AW123" s="61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7"/>
      <c r="CW123" s="49">
        <v>0</v>
      </c>
      <c r="CX123" s="49">
        <v>0</v>
      </c>
      <c r="CY123" s="52"/>
      <c r="CZ123" s="53">
        <f t="shared" ref="CZ123:CZ129" si="42">(((POWER($CZ$53,CW123))*POWER(2.718,-$CZ$53))/FACT(CW123))</f>
        <v>0.32631768651570398</v>
      </c>
      <c r="DA123" s="53">
        <f t="shared" ref="DA123:DA129" si="43">(((POWER($CZ$54,CX123))*POWER(2.718,-$CZ$54))/FACT(CX123))</f>
        <v>7.4890273974438815E-2</v>
      </c>
      <c r="DB123" s="54">
        <f t="shared" ref="DB123:DB129" si="44">CZ123*DA123</f>
        <v>2.4438020945866109E-2</v>
      </c>
      <c r="DC123" s="52" t="str">
        <f t="shared" ref="DC123:DC129" si="45">IF(DB123=MAX($DB$123:$DB$129),"&lt;-- PRONO","")</f>
        <v/>
      </c>
      <c r="DD123" s="27"/>
      <c r="DE123" s="27"/>
      <c r="DF123" s="27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</row>
    <row r="124" spans="1:166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92"/>
      <c r="Q124" s="35"/>
      <c r="R124" s="35"/>
      <c r="S124" s="35"/>
      <c r="T124" s="93"/>
      <c r="U124" s="35"/>
      <c r="V124" s="24"/>
      <c r="W124" s="24"/>
      <c r="X124" s="24"/>
      <c r="Y124" s="24"/>
      <c r="Z124" s="24"/>
      <c r="AA124" s="24"/>
      <c r="AB124" s="24"/>
      <c r="AC124" s="24"/>
      <c r="AD124" s="24"/>
      <c r="AE124" s="24" t="str">
        <f t="shared" ref="AE124:AE131" si="46">IF(AF124&gt;0,AG124,"")</f>
        <v/>
      </c>
      <c r="AF124" s="94">
        <f>DATA!O9</f>
        <v>-9.3561981900822211E-2</v>
      </c>
      <c r="AG124" s="48">
        <v>0</v>
      </c>
      <c r="AH124" s="48">
        <v>0</v>
      </c>
      <c r="AI124" s="94">
        <f>DATA!R9</f>
        <v>-0.82979483187627545</v>
      </c>
      <c r="AJ124" s="24" t="str">
        <f t="shared" ref="AJ124:AJ131" si="47">IF(AI124&gt;0,AH124,"")</f>
        <v/>
      </c>
      <c r="AK124" s="24"/>
      <c r="AL124" s="114">
        <f>AVERAGE(AE124:AE131)</f>
        <v>1</v>
      </c>
      <c r="AM124" s="24"/>
      <c r="AN124" s="24"/>
      <c r="AO124" s="56"/>
      <c r="AP124" s="61"/>
      <c r="AQ124" s="61"/>
      <c r="AR124" s="61"/>
      <c r="AS124" s="61"/>
      <c r="AT124" s="61"/>
      <c r="AU124" s="61"/>
      <c r="AV124" s="61"/>
      <c r="AW124" s="61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7"/>
      <c r="CW124" s="49">
        <v>1</v>
      </c>
      <c r="CX124" s="49">
        <v>1</v>
      </c>
      <c r="CY124" s="52"/>
      <c r="CZ124" s="53">
        <f t="shared" si="42"/>
        <v>0.36547580889758841</v>
      </c>
      <c r="DA124" s="53">
        <f t="shared" si="43"/>
        <v>0.19411559014174543</v>
      </c>
      <c r="DB124" s="54">
        <f t="shared" si="44"/>
        <v>7.0944552326687144E-2</v>
      </c>
      <c r="DC124" s="52" t="str">
        <f t="shared" si="45"/>
        <v>&lt;-- PRONO</v>
      </c>
      <c r="DD124" s="27"/>
      <c r="DE124" s="27"/>
      <c r="DF124" s="27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</row>
    <row r="125" spans="1:166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92"/>
      <c r="Q125" s="35"/>
      <c r="R125" s="35"/>
      <c r="S125" s="35"/>
      <c r="T125" s="93"/>
      <c r="U125" s="35"/>
      <c r="V125" s="24"/>
      <c r="W125" s="24"/>
      <c r="X125" s="24"/>
      <c r="Y125" s="24"/>
      <c r="Z125" s="24"/>
      <c r="AA125" s="24"/>
      <c r="AB125" s="24"/>
      <c r="AC125" s="24"/>
      <c r="AD125" s="24"/>
      <c r="AE125" s="24">
        <f t="shared" si="46"/>
        <v>1</v>
      </c>
      <c r="AF125" s="94">
        <f>DATA!O10</f>
        <v>0.14211190280496377</v>
      </c>
      <c r="AG125" s="95">
        <v>1</v>
      </c>
      <c r="AH125" s="95">
        <v>1</v>
      </c>
      <c r="AI125" s="94">
        <f>DATA!R10</f>
        <v>-0.41177093896440786</v>
      </c>
      <c r="AJ125" s="24" t="str">
        <f t="shared" si="47"/>
        <v/>
      </c>
      <c r="AK125" s="24"/>
      <c r="AL125" s="115">
        <f>AVERAGE(AJ124:AJ131)</f>
        <v>3</v>
      </c>
      <c r="AM125" s="24"/>
      <c r="AN125" s="24"/>
      <c r="AO125" s="56"/>
      <c r="AP125" s="61"/>
      <c r="AQ125" s="61"/>
      <c r="AR125" s="61"/>
      <c r="AS125" s="61"/>
      <c r="AT125" s="61"/>
      <c r="AU125" s="61"/>
      <c r="AV125" s="61"/>
      <c r="AW125" s="61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7"/>
      <c r="CW125" s="49">
        <v>2</v>
      </c>
      <c r="CX125" s="49">
        <v>2</v>
      </c>
      <c r="CY125" s="52"/>
      <c r="CZ125" s="53">
        <f t="shared" si="42"/>
        <v>0.20466645298264949</v>
      </c>
      <c r="DA125" s="53">
        <f t="shared" si="43"/>
        <v>0.25157380482370206</v>
      </c>
      <c r="DB125" s="54">
        <f t="shared" si="44"/>
        <v>5.1488718296616456E-2</v>
      </c>
      <c r="DC125" s="52" t="str">
        <f t="shared" si="45"/>
        <v/>
      </c>
      <c r="DD125" s="27"/>
      <c r="DE125" s="27"/>
      <c r="DF125" s="27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</row>
    <row r="126" spans="1:166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92"/>
      <c r="Q126" s="35"/>
      <c r="R126" s="35"/>
      <c r="S126" s="35"/>
      <c r="T126" s="93"/>
      <c r="U126" s="35"/>
      <c r="V126" s="24"/>
      <c r="W126" s="24"/>
      <c r="X126" s="24"/>
      <c r="Y126" s="24"/>
      <c r="Z126" s="24"/>
      <c r="AA126" s="24"/>
      <c r="AB126" s="24"/>
      <c r="AC126" s="24"/>
      <c r="AD126" s="24"/>
      <c r="AE126" s="24" t="str">
        <f t="shared" si="46"/>
        <v/>
      </c>
      <c r="AF126" s="94">
        <f>DATA!O11</f>
        <v>-0.14722311257229381</v>
      </c>
      <c r="AG126" s="95">
        <v>2</v>
      </c>
      <c r="AH126" s="95">
        <v>2</v>
      </c>
      <c r="AI126" s="94">
        <f>DATA!R11</f>
        <v>0.2578690241185102</v>
      </c>
      <c r="AJ126" s="24">
        <f t="shared" si="47"/>
        <v>2</v>
      </c>
      <c r="AK126" s="24"/>
      <c r="AL126" s="24">
        <f>SUM(AL124:AL125)</f>
        <v>4</v>
      </c>
      <c r="AM126" s="24"/>
      <c r="AN126" s="24"/>
      <c r="AO126" s="56"/>
      <c r="AP126" s="61"/>
      <c r="AQ126" s="61"/>
      <c r="AR126" s="61"/>
      <c r="AS126" s="61"/>
      <c r="AT126" s="61"/>
      <c r="AU126" s="61"/>
      <c r="AV126" s="61"/>
      <c r="AW126" s="61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7"/>
      <c r="CW126" s="49">
        <v>3</v>
      </c>
      <c r="CX126" s="49">
        <v>3</v>
      </c>
      <c r="CY126" s="52"/>
      <c r="CZ126" s="53">
        <f t="shared" si="42"/>
        <v>7.6408809113522463E-2</v>
      </c>
      <c r="DA126" s="53">
        <f t="shared" si="43"/>
        <v>0.21735976736767859</v>
      </c>
      <c r="DB126" s="54">
        <f t="shared" si="44"/>
        <v>1.6608200973756603E-2</v>
      </c>
      <c r="DC126" s="52" t="str">
        <f t="shared" si="45"/>
        <v/>
      </c>
      <c r="DD126" s="27"/>
      <c r="DE126" s="27"/>
      <c r="DF126" s="27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</row>
    <row r="127" spans="1:166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92"/>
      <c r="Q127" s="35"/>
      <c r="R127" s="35"/>
      <c r="S127" s="35"/>
      <c r="T127" s="93"/>
      <c r="U127" s="35"/>
      <c r="V127" s="24"/>
      <c r="W127" s="24"/>
      <c r="X127" s="24"/>
      <c r="Y127" s="24"/>
      <c r="Z127" s="24"/>
      <c r="AA127" s="24"/>
      <c r="AB127" s="24"/>
      <c r="AC127" s="24"/>
      <c r="AD127" s="24"/>
      <c r="AE127" s="24" t="str">
        <f t="shared" si="46"/>
        <v/>
      </c>
      <c r="AF127" s="94">
        <f>DATA!O12</f>
        <v>-0.5755066160359863</v>
      </c>
      <c r="AG127" s="95">
        <v>3</v>
      </c>
      <c r="AH127" s="95">
        <v>3</v>
      </c>
      <c r="AI127" s="94">
        <f>DATA!R12</f>
        <v>0.44906511578452402</v>
      </c>
      <c r="AJ127" s="24">
        <f t="shared" si="47"/>
        <v>3</v>
      </c>
      <c r="AK127" s="24"/>
      <c r="AL127" s="24">
        <f>ROUNDDOWN(AL126,0)</f>
        <v>4</v>
      </c>
      <c r="AM127" s="24"/>
      <c r="AN127" s="24"/>
      <c r="AO127" s="56"/>
      <c r="AP127" s="61"/>
      <c r="AQ127" s="61"/>
      <c r="AR127" s="61"/>
      <c r="AS127" s="61"/>
      <c r="AT127" s="61"/>
      <c r="AU127" s="61"/>
      <c r="AV127" s="61"/>
      <c r="AW127" s="61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7"/>
      <c r="CW127" s="49">
        <v>4</v>
      </c>
      <c r="CX127" s="49">
        <v>4</v>
      </c>
      <c r="CY127" s="52"/>
      <c r="CZ127" s="53">
        <f t="shared" si="42"/>
        <v>2.1394466551786288E-2</v>
      </c>
      <c r="DA127" s="53">
        <f t="shared" si="43"/>
        <v>0.14084912925425572</v>
      </c>
      <c r="DB127" s="54">
        <f t="shared" si="44"/>
        <v>3.0133919846783977E-3</v>
      </c>
      <c r="DC127" s="52" t="str">
        <f t="shared" si="45"/>
        <v/>
      </c>
      <c r="DD127" s="27"/>
      <c r="DE127" s="27"/>
      <c r="DF127" s="27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</row>
    <row r="128" spans="1:16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 t="str">
        <f t="shared" si="46"/>
        <v/>
      </c>
      <c r="AF128" s="94">
        <f>DATA!O13</f>
        <v>-0.89302766724106852</v>
      </c>
      <c r="AG128" s="95">
        <v>4</v>
      </c>
      <c r="AH128" s="95">
        <v>4</v>
      </c>
      <c r="AI128" s="94">
        <f>DATA!R13</f>
        <v>0.40849129254255701</v>
      </c>
      <c r="AJ128" s="24">
        <f t="shared" si="47"/>
        <v>4</v>
      </c>
      <c r="AK128" s="24"/>
      <c r="AL128" s="24">
        <f>ROUNDUP(AL126,0)</f>
        <v>4</v>
      </c>
      <c r="AM128" s="24"/>
      <c r="AN128" s="24"/>
      <c r="AO128" s="56"/>
      <c r="AP128" s="61"/>
      <c r="AQ128" s="61"/>
      <c r="AR128" s="61"/>
      <c r="AS128" s="61"/>
      <c r="AT128" s="61"/>
      <c r="AU128" s="61"/>
      <c r="AV128" s="61"/>
      <c r="AW128" s="61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7"/>
      <c r="CW128" s="49">
        <v>5</v>
      </c>
      <c r="CX128" s="49">
        <v>5</v>
      </c>
      <c r="CY128" s="52"/>
      <c r="CZ128" s="53">
        <f t="shared" si="42"/>
        <v>4.7923605076001276E-3</v>
      </c>
      <c r="DA128" s="53">
        <f t="shared" si="43"/>
        <v>7.3016188605406165E-2</v>
      </c>
      <c r="DB128" s="54">
        <f t="shared" si="44"/>
        <v>3.4991989868803092E-4</v>
      </c>
      <c r="DC128" s="52" t="str">
        <f t="shared" si="45"/>
        <v/>
      </c>
      <c r="DD128" s="27"/>
      <c r="DE128" s="27"/>
      <c r="DF128" s="27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  <c r="FC128" s="24"/>
      <c r="FD128" s="24"/>
      <c r="FE128" s="24"/>
      <c r="FF128" s="24"/>
      <c r="FG128" s="24"/>
      <c r="FH128" s="24"/>
      <c r="FI128" s="24"/>
      <c r="FJ128" s="24"/>
    </row>
    <row r="129" spans="1:16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 t="s">
        <v>128</v>
      </c>
      <c r="AC129" s="24" t="s">
        <v>129</v>
      </c>
      <c r="AD129" s="24"/>
      <c r="AE129" s="24" t="str">
        <f t="shared" si="46"/>
        <v/>
      </c>
      <c r="AF129" s="94">
        <f>DATA!O14</f>
        <v>-0.95207639492399876</v>
      </c>
      <c r="AG129" s="95">
        <v>5</v>
      </c>
      <c r="AH129" s="95">
        <v>5</v>
      </c>
      <c r="AI129" s="94">
        <f>DATA!R14</f>
        <v>-0.26983811394593837</v>
      </c>
      <c r="AJ129" s="24" t="str">
        <f t="shared" si="47"/>
        <v/>
      </c>
      <c r="AK129" s="24"/>
      <c r="AL129" s="24" t="str">
        <f>IF(AL126&lt;1,"Забьют 0-1 голов",IF(AL126=1,"Забьют 1 гол",IF(AL126=1.5,"Забьют 1-2 гола",IF(AL126=2,"Забьют 2 гола",IF(AL126=2.5,"Забьют 2-3 гола",IF(AL126=3,"Забьют 3 гола",IF(AL126=3.5,"Забьют 3-4 гола",IF(AL126=4,"Забьют 4 гола",IF(AL126&gt;4,"Забьют 4 и более голов")))))))))</f>
        <v>Забьют 4 гола</v>
      </c>
      <c r="AM129" s="24"/>
      <c r="AN129" s="24"/>
      <c r="AO129" s="56"/>
      <c r="AP129" s="61"/>
      <c r="AQ129" s="61"/>
      <c r="AR129" s="61"/>
      <c r="AS129" s="61"/>
      <c r="AT129" s="61"/>
      <c r="AU129" s="61"/>
      <c r="AV129" s="61"/>
      <c r="AW129" s="61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24"/>
      <c r="CR129" s="24"/>
      <c r="CS129" s="24"/>
      <c r="CT129" s="24"/>
      <c r="CU129" s="24"/>
      <c r="CV129" s="27"/>
      <c r="CW129" s="49">
        <v>6</v>
      </c>
      <c r="CX129" s="49">
        <v>6</v>
      </c>
      <c r="CY129" s="52"/>
      <c r="CZ129" s="53">
        <f t="shared" si="42"/>
        <v>8.9457396141869039E-4</v>
      </c>
      <c r="DA129" s="53">
        <f t="shared" si="43"/>
        <v>3.1542993477535461E-2</v>
      </c>
      <c r="DB129" s="54">
        <f t="shared" si="44"/>
        <v>2.8217540630202811E-5</v>
      </c>
      <c r="DC129" s="52" t="str">
        <f t="shared" si="45"/>
        <v/>
      </c>
      <c r="DD129" s="27"/>
      <c r="DE129" s="27"/>
      <c r="DF129" s="27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  <c r="DR129" s="24"/>
      <c r="DS129" s="24"/>
      <c r="DT129" s="24"/>
      <c r="DU129" s="24"/>
      <c r="DV129" s="24"/>
      <c r="DW129" s="24"/>
      <c r="DX129" s="24"/>
      <c r="DY129" s="24"/>
      <c r="DZ129" s="24"/>
      <c r="EA129" s="24"/>
      <c r="EB129" s="24"/>
      <c r="EC129" s="24"/>
      <c r="ED129" s="24"/>
      <c r="EE129" s="24"/>
      <c r="EF129" s="24"/>
      <c r="EG129" s="24"/>
      <c r="EH129" s="24"/>
      <c r="EI129" s="24"/>
      <c r="EJ129" s="24"/>
      <c r="EK129" s="24"/>
      <c r="EL129" s="24"/>
      <c r="EM129" s="24"/>
      <c r="EN129" s="24"/>
      <c r="EO129" s="24"/>
      <c r="EP129" s="24"/>
      <c r="EQ129" s="24"/>
      <c r="ER129" s="24"/>
      <c r="ES129" s="24"/>
      <c r="ET129" s="24"/>
      <c r="EU129" s="24"/>
      <c r="EV129" s="24"/>
      <c r="EW129" s="24"/>
      <c r="EX129" s="24"/>
      <c r="EY129" s="24"/>
      <c r="EZ129" s="24"/>
      <c r="FA129" s="24"/>
      <c r="FB129" s="24"/>
      <c r="FC129" s="24"/>
      <c r="FD129" s="24"/>
      <c r="FE129" s="24"/>
      <c r="FF129" s="24"/>
      <c r="FG129" s="24"/>
      <c r="FH129" s="24"/>
      <c r="FI129" s="24"/>
      <c r="FJ129" s="24"/>
    </row>
    <row r="130" spans="1:16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 t="s">
        <v>130</v>
      </c>
      <c r="AC130" s="24"/>
      <c r="AD130" s="24"/>
      <c r="AE130" s="24" t="str">
        <f t="shared" si="46"/>
        <v/>
      </c>
      <c r="AF130" s="94">
        <f>DATA!O15</f>
        <v>-0.99105426038581312</v>
      </c>
      <c r="AG130" s="48">
        <v>6</v>
      </c>
      <c r="AH130" s="48">
        <v>6</v>
      </c>
      <c r="AI130" s="94">
        <f>DATA!R15</f>
        <v>-0.68457006522464536</v>
      </c>
      <c r="AJ130" s="24" t="str">
        <f t="shared" si="47"/>
        <v/>
      </c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7"/>
      <c r="CW130" s="49"/>
      <c r="CX130" s="49"/>
      <c r="CY130" s="27"/>
      <c r="CZ130" s="53"/>
      <c r="DA130" s="53"/>
      <c r="DB130" s="54"/>
      <c r="DC130" s="27"/>
      <c r="DD130" s="27"/>
      <c r="DE130" s="27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  <c r="FC130" s="24"/>
      <c r="FD130" s="24"/>
      <c r="FE130" s="24"/>
      <c r="FF130" s="24"/>
      <c r="FG130" s="24"/>
      <c r="FH130" s="24"/>
      <c r="FI130" s="24"/>
      <c r="FJ130" s="24"/>
    </row>
    <row r="131" spans="1:16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 t="str">
        <f t="shared" si="46"/>
        <v/>
      </c>
      <c r="AF131" s="94">
        <f>DATA!O16</f>
        <v>-0.99856868166173007</v>
      </c>
      <c r="AG131" s="95">
        <v>7</v>
      </c>
      <c r="AH131" s="95">
        <v>7</v>
      </c>
      <c r="AI131" s="94">
        <f>DATA!R16</f>
        <v>-0.88320080129461154</v>
      </c>
      <c r="AJ131" s="24" t="str">
        <f t="shared" si="47"/>
        <v/>
      </c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  <c r="CO131" s="24"/>
      <c r="CP131" s="24"/>
      <c r="CQ131" s="24"/>
      <c r="CR131" s="24"/>
      <c r="CS131" s="24"/>
      <c r="CT131" s="24"/>
      <c r="CU131" s="24"/>
      <c r="CV131" s="24"/>
      <c r="CW131" s="24"/>
      <c r="CX131" s="24"/>
      <c r="CY131" s="24"/>
      <c r="CZ131" s="24"/>
      <c r="DA131" s="24"/>
      <c r="DB131" s="24"/>
      <c r="DC131" s="24"/>
      <c r="DD131" s="24"/>
      <c r="DE131" s="24"/>
      <c r="DF131" s="24"/>
      <c r="DG131" s="24"/>
      <c r="DH131" s="24"/>
      <c r="DI131" s="24"/>
      <c r="DJ131" s="24"/>
      <c r="DK131" s="24"/>
      <c r="DL131" s="24"/>
      <c r="DM131" s="24"/>
      <c r="DN131" s="24"/>
      <c r="DO131" s="24"/>
      <c r="DP131" s="24"/>
      <c r="DQ131" s="24"/>
      <c r="DR131" s="24"/>
      <c r="DS131" s="24"/>
      <c r="DT131" s="24"/>
      <c r="DU131" s="24"/>
      <c r="DV131" s="24"/>
      <c r="DW131" s="24"/>
      <c r="DX131" s="24"/>
      <c r="DY131" s="24"/>
      <c r="DZ131" s="24"/>
      <c r="EA131" s="24"/>
      <c r="EB131" s="24"/>
      <c r="EC131" s="24"/>
      <c r="ED131" s="24"/>
      <c r="EE131" s="24"/>
      <c r="EF131" s="24"/>
      <c r="EG131" s="24"/>
      <c r="EH131" s="24"/>
      <c r="EI131" s="24"/>
      <c r="EJ131" s="24"/>
      <c r="EK131" s="24"/>
      <c r="EL131" s="24"/>
      <c r="EM131" s="24"/>
      <c r="EN131" s="24"/>
      <c r="EO131" s="24"/>
      <c r="EP131" s="24"/>
      <c r="EQ131" s="24"/>
      <c r="ER131" s="24"/>
      <c r="ES131" s="24"/>
      <c r="ET131" s="24"/>
      <c r="EU131" s="24"/>
      <c r="EV131" s="24"/>
      <c r="EW131" s="24"/>
      <c r="EX131" s="24"/>
      <c r="EY131" s="24"/>
      <c r="EZ131" s="24"/>
      <c r="FA131" s="24"/>
      <c r="FB131" s="24"/>
      <c r="FC131" s="24"/>
      <c r="FD131" s="24"/>
      <c r="FE131" s="24"/>
      <c r="FF131" s="24"/>
      <c r="FG131" s="24"/>
      <c r="FH131" s="24"/>
      <c r="FI131" s="24"/>
      <c r="FJ131" s="24"/>
    </row>
    <row r="132" spans="1:166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  <c r="FC132" s="24"/>
      <c r="FD132" s="24"/>
      <c r="FE132" s="24"/>
      <c r="FF132" s="24"/>
      <c r="FG132" s="24"/>
      <c r="FH132" s="24"/>
      <c r="FI132" s="24"/>
      <c r="FJ132" s="24"/>
    </row>
    <row r="133" spans="1:166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>
        <f>AVERAGE(AE124:AE131)</f>
        <v>1</v>
      </c>
      <c r="AE133" s="24">
        <f>AVERAGE(AJ124:AJ131)</f>
        <v>3</v>
      </c>
      <c r="AF133" s="24">
        <f>MIN(AE124:AE131)</f>
        <v>1</v>
      </c>
      <c r="AG133" s="24">
        <f>MIN(AJ124:AJ131)</f>
        <v>2</v>
      </c>
      <c r="AH133" s="24" t="str">
        <f>IFERROR(IF(DATA!#REF!&gt;=3.5,"ТБ 2.5",IF(DATA!#REF!&gt;=2.5,"ТБ 1.5",IF(DATA!#REF!&gt;=1.5,"ТБ 0.5",IF(DATA!#REF!&lt;=0.5,"ТМ 1.5",IF(DATA!#REF!&lt;=1.5,"ТМ 2.5",IF(DATA!#REF!&lt;2,"ТМ 3.5","-")))))),"")</f>
        <v/>
      </c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  <c r="CO133" s="24"/>
      <c r="CP133" s="24"/>
      <c r="CQ133" s="24"/>
      <c r="CR133" s="24"/>
      <c r="CS133" s="24"/>
      <c r="CT133" s="24"/>
      <c r="CU133" s="24"/>
      <c r="CV133" s="24"/>
      <c r="CW133" s="24"/>
      <c r="CX133" s="24"/>
      <c r="CY133" s="24"/>
      <c r="CZ133" s="24"/>
      <c r="DA133" s="24"/>
      <c r="DB133" s="24"/>
      <c r="DC133" s="24"/>
      <c r="DD133" s="24"/>
      <c r="DE133" s="24"/>
      <c r="DF133" s="24"/>
      <c r="DG133" s="24"/>
      <c r="DH133" s="24"/>
      <c r="DI133" s="24"/>
      <c r="DJ133" s="24"/>
      <c r="DK133" s="24"/>
      <c r="DL133" s="24"/>
      <c r="DM133" s="24"/>
      <c r="DN133" s="24"/>
      <c r="DO133" s="24"/>
      <c r="DP133" s="24"/>
      <c r="DQ133" s="24"/>
      <c r="DR133" s="24"/>
      <c r="DS133" s="24"/>
      <c r="DT133" s="24"/>
      <c r="DU133" s="24"/>
      <c r="DV133" s="24"/>
      <c r="DW133" s="24"/>
      <c r="DX133" s="24"/>
      <c r="DY133" s="24"/>
      <c r="DZ133" s="24"/>
      <c r="EA133" s="24"/>
      <c r="EB133" s="24"/>
      <c r="EC133" s="24"/>
      <c r="ED133" s="24"/>
      <c r="EE133" s="24"/>
      <c r="EF133" s="24"/>
      <c r="EG133" s="24"/>
      <c r="EH133" s="24"/>
      <c r="EI133" s="24"/>
      <c r="EJ133" s="24"/>
      <c r="EK133" s="24"/>
      <c r="EL133" s="24"/>
      <c r="EM133" s="24"/>
      <c r="EN133" s="24"/>
      <c r="EO133" s="24"/>
      <c r="EP133" s="24"/>
      <c r="EQ133" s="24"/>
      <c r="ER133" s="24"/>
      <c r="ES133" s="24"/>
      <c r="ET133" s="24"/>
      <c r="EU133" s="24"/>
      <c r="EV133" s="24"/>
      <c r="EW133" s="24"/>
      <c r="EX133" s="24"/>
      <c r="EY133" s="24"/>
      <c r="EZ133" s="24"/>
      <c r="FA133" s="24"/>
      <c r="FB133" s="24"/>
      <c r="FC133" s="24"/>
      <c r="FD133" s="24"/>
      <c r="FE133" s="24"/>
      <c r="FF133" s="24"/>
      <c r="FG133" s="24"/>
      <c r="FH133" s="24"/>
      <c r="FI133" s="24"/>
      <c r="FJ133" s="24"/>
    </row>
    <row r="134" spans="1:166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>
        <f>MAX(AE124:AE131)</f>
        <v>1</v>
      </c>
      <c r="AG134" s="24">
        <f>MAX(AJ124:AJ131)</f>
        <v>4</v>
      </c>
      <c r="AH134" s="24" t="str">
        <f>IFERROR(IF(DATA!#REF!&gt;=3.5,"ТБ 2.5",IF(DATA!#REF!&gt;=2.5,"ТБ 1.5",IF(DATA!#REF!&gt;=1.5,"ТБ 0.5",IF(DATA!#REF!&lt;=0.5,"ТМ 1.5",IF(DATA!#REF!&lt;=1.5,"ТМ 2.5",IF(DATA!#REF!&lt;2,"ТМ 3.5","-")))))),"")</f>
        <v/>
      </c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  <c r="FC134" s="24"/>
      <c r="FD134" s="24"/>
      <c r="FE134" s="24"/>
      <c r="FF134" s="24"/>
      <c r="FG134" s="24"/>
      <c r="FH134" s="24"/>
      <c r="FI134" s="24"/>
      <c r="FJ134" s="24"/>
    </row>
    <row r="135" spans="1:166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 t="str">
        <f>CONCATENATE(AB129,AF138,AC129)</f>
        <v>ИТБ 1 ( 0,5 )</v>
      </c>
      <c r="AB135" s="24" t="str">
        <f>CONCATENATE(AB130,AG138,AC129)</f>
        <v>ИТБ 2 ( 1,5 )</v>
      </c>
      <c r="AC135" s="24"/>
      <c r="AD135" s="24"/>
      <c r="AE135" s="24"/>
      <c r="AF135" s="24">
        <f>MIN(AE124:AE131)</f>
        <v>1</v>
      </c>
      <c r="AG135" s="24">
        <f>MAX(AJ124:AJ131)</f>
        <v>4</v>
      </c>
      <c r="AH135" s="24" t="str">
        <f>IFERROR(IF(DATA!#REF!&gt;=3.5,"ТБ 2.5",IF(DATA!#REF!&gt;=2.5,"ТБ 1.5",IF(DATA!#REF!&gt;=1.5,"ТБ 0.5",IF(DATA!#REF!&lt;=0.5,"ТМ 1.5",IF(DATA!#REF!&lt;=1.5,"ТМ 2.5",IF(DATA!#REF!&lt;2,"ТМ 3.5","-")))))),"")</f>
        <v/>
      </c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  <c r="CO135" s="24"/>
      <c r="CP135" s="24"/>
      <c r="CQ135" s="24"/>
      <c r="CR135" s="24"/>
      <c r="CS135" s="24"/>
      <c r="CT135" s="24"/>
      <c r="CU135" s="24"/>
      <c r="CV135" s="24"/>
      <c r="CW135" s="24"/>
      <c r="CX135" s="24"/>
      <c r="CY135" s="24"/>
      <c r="CZ135" s="24"/>
      <c r="DA135" s="24"/>
      <c r="DB135" s="24"/>
      <c r="DC135" s="24"/>
      <c r="DD135" s="24"/>
      <c r="DE135" s="24"/>
      <c r="DF135" s="24"/>
      <c r="DG135" s="24"/>
      <c r="DH135" s="24"/>
      <c r="DI135" s="24"/>
      <c r="DJ135" s="24"/>
      <c r="DK135" s="24"/>
      <c r="DL135" s="24"/>
      <c r="DM135" s="24"/>
      <c r="DN135" s="24"/>
      <c r="DO135" s="24"/>
      <c r="DP135" s="24"/>
      <c r="DQ135" s="24"/>
      <c r="DR135" s="24"/>
      <c r="DS135" s="24"/>
      <c r="DT135" s="24"/>
      <c r="DU135" s="24"/>
      <c r="DV135" s="24"/>
      <c r="DW135" s="24"/>
      <c r="DX135" s="24"/>
      <c r="DY135" s="24"/>
      <c r="DZ135" s="24"/>
      <c r="EA135" s="24"/>
      <c r="EB135" s="24"/>
      <c r="EC135" s="24"/>
      <c r="ED135" s="24"/>
      <c r="EE135" s="24"/>
      <c r="EF135" s="24"/>
      <c r="EG135" s="24"/>
      <c r="EH135" s="24"/>
      <c r="EI135" s="24"/>
      <c r="EJ135" s="24"/>
      <c r="EK135" s="24"/>
      <c r="EL135" s="24"/>
      <c r="EM135" s="24"/>
      <c r="EN135" s="24"/>
      <c r="EO135" s="24"/>
      <c r="EP135" s="24"/>
      <c r="EQ135" s="24"/>
      <c r="ER135" s="24"/>
      <c r="ES135" s="24"/>
      <c r="ET135" s="24"/>
      <c r="EU135" s="24"/>
      <c r="EV135" s="24"/>
      <c r="EW135" s="24"/>
      <c r="EX135" s="24"/>
      <c r="EY135" s="24"/>
      <c r="EZ135" s="24"/>
      <c r="FA135" s="24"/>
      <c r="FB135" s="24"/>
      <c r="FC135" s="24"/>
      <c r="FD135" s="24"/>
      <c r="FE135" s="24"/>
      <c r="FF135" s="24"/>
      <c r="FG135" s="24"/>
      <c r="FH135" s="24"/>
      <c r="FI135" s="24"/>
      <c r="FJ135" s="24"/>
    </row>
    <row r="136" spans="1:166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 t="str">
        <f>IF(AF133=0,"-",AA135)</f>
        <v>ИТБ 1 ( 0,5 )</v>
      </c>
      <c r="AB136" s="24" t="str">
        <f>IF(AG133=0,"-",AB135)</f>
        <v>ИТБ 2 ( 1,5 )</v>
      </c>
      <c r="AC136" s="24"/>
      <c r="AD136" s="24"/>
      <c r="AE136" s="24"/>
      <c r="AF136" s="24">
        <f>MAX(AE124:AE131)</f>
        <v>1</v>
      </c>
      <c r="AG136" s="24">
        <f>MIN(AJ124:AJ131)</f>
        <v>2</v>
      </c>
      <c r="AH136" s="24" t="str">
        <f>IFERROR(IF(DATA!#REF!&gt;=3.5,"ТБ 2.5",IF(DATA!#REF!&gt;=2.5,"ТБ 1.5",IF(DATA!#REF!&gt;=1.5,"ТБ 0.5",IF(DATA!#REF!&lt;=0.5,"ТМ 1.5",IF(DATA!#REF!&lt;=1.5,"ТМ 2.5",IF(DATA!#REF!&lt;2,"ТМ 3.5","-")))))),"")</f>
        <v/>
      </c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  <c r="FC136" s="24"/>
      <c r="FD136" s="24"/>
      <c r="FE136" s="24"/>
      <c r="FF136" s="24"/>
      <c r="FG136" s="24"/>
      <c r="FH136" s="24"/>
      <c r="FI136" s="24"/>
      <c r="FJ136" s="24"/>
    </row>
    <row r="137" spans="1:166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 t="str">
        <f>IF(AF139="Забьет в матче",AF139,AA136)</f>
        <v>Забьет в матче</v>
      </c>
      <c r="AB137" s="24" t="str">
        <f>IF(AG139="Забьет в матче",AG139,AB136)</f>
        <v>ИТБ 2 ( 1,5 )</v>
      </c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  <c r="CO137" s="24"/>
      <c r="CP137" s="24"/>
      <c r="CQ137" s="24"/>
      <c r="CR137" s="24"/>
      <c r="CS137" s="24"/>
      <c r="CT137" s="24"/>
      <c r="CU137" s="24"/>
      <c r="CV137" s="24"/>
      <c r="CW137" s="24"/>
      <c r="CX137" s="24"/>
      <c r="CY137" s="24"/>
      <c r="CZ137" s="24"/>
      <c r="DA137" s="24"/>
      <c r="DB137" s="24"/>
      <c r="DC137" s="24"/>
      <c r="DD137" s="24"/>
      <c r="DE137" s="24"/>
      <c r="DF137" s="24"/>
      <c r="DG137" s="24"/>
      <c r="DH137" s="24"/>
      <c r="DI137" s="24"/>
      <c r="DJ137" s="24"/>
      <c r="DK137" s="24"/>
      <c r="DL137" s="24"/>
      <c r="DM137" s="24"/>
      <c r="DN137" s="24"/>
      <c r="DO137" s="24"/>
      <c r="DP137" s="24"/>
      <c r="DQ137" s="24"/>
      <c r="DR137" s="24"/>
      <c r="DS137" s="24"/>
      <c r="DT137" s="24"/>
      <c r="DU137" s="24"/>
      <c r="DV137" s="24"/>
      <c r="DW137" s="24"/>
      <c r="DX137" s="24"/>
      <c r="DY137" s="24"/>
      <c r="DZ137" s="24"/>
      <c r="EA137" s="24"/>
      <c r="EB137" s="24"/>
      <c r="EC137" s="24"/>
      <c r="ED137" s="24"/>
      <c r="EE137" s="24"/>
      <c r="EF137" s="24"/>
      <c r="EG137" s="24"/>
      <c r="EH137" s="24"/>
      <c r="EI137" s="24"/>
      <c r="EJ137" s="24"/>
      <c r="EK137" s="24"/>
      <c r="EL137" s="24"/>
      <c r="EM137" s="24"/>
      <c r="EN137" s="24"/>
      <c r="EO137" s="24"/>
      <c r="EP137" s="24"/>
      <c r="EQ137" s="24"/>
      <c r="ER137" s="24"/>
      <c r="ES137" s="24"/>
      <c r="ET137" s="24"/>
      <c r="EU137" s="24"/>
      <c r="EV137" s="24"/>
      <c r="EW137" s="24"/>
      <c r="EX137" s="24"/>
      <c r="EY137" s="24"/>
      <c r="EZ137" s="24"/>
      <c r="FA137" s="24"/>
      <c r="FB137" s="24"/>
      <c r="FC137" s="24"/>
      <c r="FD137" s="24"/>
      <c r="FE137" s="24"/>
      <c r="FF137" s="24"/>
      <c r="FG137" s="24"/>
      <c r="FH137" s="24"/>
      <c r="FI137" s="24"/>
      <c r="FJ137" s="24"/>
    </row>
    <row r="138" spans="1:166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>
        <f>AF133-0.5</f>
        <v>0.5</v>
      </c>
      <c r="AG138" s="24">
        <f>AG133-0.5</f>
        <v>1.5</v>
      </c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</row>
    <row r="139" spans="1:166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 t="str">
        <f>IF(AF138=0.5,"Забьет в матче","-")</f>
        <v>Забьет в матче</v>
      </c>
      <c r="AG139" s="24" t="str">
        <f>IF(AG138=0.5,"Забьет в матче","-")</f>
        <v>-</v>
      </c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  <c r="CO139" s="24"/>
      <c r="CP139" s="24"/>
      <c r="CQ139" s="24"/>
      <c r="CR139" s="24"/>
      <c r="CS139" s="24"/>
      <c r="CT139" s="24"/>
      <c r="CU139" s="24"/>
      <c r="CV139" s="24"/>
      <c r="CW139" s="24"/>
      <c r="CX139" s="24"/>
      <c r="CY139" s="24"/>
      <c r="CZ139" s="24"/>
      <c r="DA139" s="24"/>
      <c r="DB139" s="24"/>
      <c r="DC139" s="24"/>
      <c r="DD139" s="24"/>
      <c r="DE139" s="24"/>
      <c r="DF139" s="24"/>
      <c r="DG139" s="24"/>
      <c r="DH139" s="24"/>
      <c r="DI139" s="24"/>
      <c r="DJ139" s="24"/>
      <c r="DK139" s="24"/>
      <c r="DL139" s="24"/>
      <c r="DM139" s="24"/>
      <c r="DN139" s="24"/>
      <c r="DO139" s="24"/>
      <c r="DP139" s="24"/>
      <c r="DQ139" s="24"/>
      <c r="DR139" s="24"/>
      <c r="DS139" s="24"/>
      <c r="DT139" s="24"/>
      <c r="DU139" s="24"/>
      <c r="DV139" s="24"/>
      <c r="DW139" s="24"/>
      <c r="DX139" s="24"/>
      <c r="DY139" s="24"/>
      <c r="DZ139" s="24"/>
      <c r="EA139" s="24"/>
      <c r="EB139" s="24"/>
      <c r="EC139" s="24"/>
      <c r="ED139" s="24"/>
      <c r="EE139" s="24"/>
      <c r="EF139" s="24"/>
      <c r="EG139" s="24"/>
      <c r="EH139" s="24"/>
      <c r="EI139" s="24"/>
      <c r="EJ139" s="24"/>
      <c r="EK139" s="24"/>
      <c r="EL139" s="24"/>
      <c r="EM139" s="24"/>
      <c r="EN139" s="24"/>
      <c r="EO139" s="24"/>
      <c r="EP139" s="24"/>
      <c r="EQ139" s="24"/>
      <c r="ER139" s="24"/>
      <c r="ES139" s="24"/>
      <c r="ET139" s="24"/>
      <c r="EU139" s="24"/>
      <c r="EV139" s="24"/>
      <c r="EW139" s="24"/>
      <c r="EX139" s="24"/>
      <c r="EY139" s="24"/>
      <c r="EZ139" s="24"/>
      <c r="FA139" s="24"/>
      <c r="FB139" s="24"/>
      <c r="FC139" s="24"/>
      <c r="FD139" s="24"/>
      <c r="FE139" s="24"/>
      <c r="FF139" s="24"/>
      <c r="FG139" s="24"/>
      <c r="FH139" s="24"/>
      <c r="FI139" s="24"/>
      <c r="FJ139" s="24"/>
    </row>
    <row r="140" spans="1:166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</row>
    <row r="141" spans="1:166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</row>
    <row r="142" spans="1:166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</row>
    <row r="143" spans="1:166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9"/>
      <c r="AN143" s="29"/>
      <c r="AO143" s="29"/>
      <c r="AP143" s="29"/>
      <c r="AQ143" s="24"/>
      <c r="AR143" s="24"/>
      <c r="AS143" s="24"/>
      <c r="AT143" s="24"/>
      <c r="AU143" s="24"/>
      <c r="AV143" s="24"/>
      <c r="AW143" s="24"/>
      <c r="AX143" s="24"/>
      <c r="AY143" s="24"/>
      <c r="AZ143" s="258" t="s">
        <v>131</v>
      </c>
      <c r="BA143" s="258"/>
      <c r="BB143" s="258"/>
      <c r="BC143" s="258"/>
      <c r="BD143" s="258"/>
      <c r="BE143" s="258"/>
      <c r="BF143" s="258"/>
      <c r="BG143" s="258" t="s">
        <v>132</v>
      </c>
      <c r="BH143" s="258"/>
      <c r="BI143" s="258"/>
      <c r="BJ143" s="258"/>
      <c r="BK143" s="258"/>
      <c r="BL143" s="258"/>
      <c r="BM143" s="258"/>
      <c r="BN143" s="258" t="s">
        <v>133</v>
      </c>
      <c r="BO143" s="258"/>
      <c r="BP143" s="258"/>
      <c r="BQ143" s="258"/>
      <c r="BR143" s="258"/>
      <c r="BS143" s="258"/>
      <c r="BT143" s="258"/>
      <c r="BU143" s="254" t="s">
        <v>134</v>
      </c>
      <c r="BV143" s="254"/>
      <c r="BW143" s="254"/>
      <c r="BX143" s="254"/>
      <c r="BY143" s="254" t="s">
        <v>135</v>
      </c>
      <c r="BZ143" s="254"/>
      <c r="CA143" s="254"/>
      <c r="CB143" s="25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  <c r="CO143" s="24"/>
      <c r="CP143" s="24"/>
      <c r="CQ143" s="24"/>
      <c r="CR143" s="24"/>
      <c r="CS143" s="24"/>
      <c r="CT143" s="24"/>
      <c r="CU143" s="24"/>
      <c r="CV143" s="24"/>
      <c r="CW143" s="24"/>
      <c r="CX143" s="24"/>
      <c r="CY143" s="24"/>
      <c r="CZ143" s="24"/>
      <c r="DA143" s="24"/>
      <c r="DB143" s="24"/>
      <c r="DC143" s="24"/>
      <c r="DD143" s="24"/>
      <c r="DE143" s="24"/>
      <c r="DF143" s="24"/>
      <c r="DG143" s="24"/>
      <c r="DH143" s="24"/>
      <c r="DI143" s="24"/>
      <c r="DJ143" s="24"/>
      <c r="DK143" s="24"/>
      <c r="DL143" s="24"/>
      <c r="DM143" s="24"/>
      <c r="DN143" s="24"/>
      <c r="DO143" s="24"/>
      <c r="DP143" s="24"/>
      <c r="DQ143" s="24"/>
      <c r="DR143" s="24"/>
      <c r="DS143" s="24"/>
      <c r="DT143" s="24"/>
      <c r="DU143" s="24"/>
      <c r="DV143" s="24"/>
      <c r="DW143" s="24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</row>
    <row r="144" spans="1:166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56" t="s">
        <v>136</v>
      </c>
      <c r="AN144" s="256"/>
      <c r="AO144" s="257" t="str">
        <f>IF(AR145=AR146,AR145,IF(AR145=AS146,AR145,AS145))</f>
        <v>Каманда 1</v>
      </c>
      <c r="AP144" s="257"/>
      <c r="AQ144" s="24"/>
      <c r="AR144" s="96" t="s">
        <v>4</v>
      </c>
      <c r="AS144" s="96" t="s">
        <v>5</v>
      </c>
      <c r="AT144" s="96" t="s">
        <v>6</v>
      </c>
      <c r="AU144" s="96" t="s">
        <v>7</v>
      </c>
      <c r="AV144" s="96" t="s">
        <v>8</v>
      </c>
      <c r="AW144" s="96" t="s">
        <v>9</v>
      </c>
      <c r="AX144" s="96" t="s">
        <v>10</v>
      </c>
      <c r="AY144" s="96" t="s">
        <v>137</v>
      </c>
      <c r="AZ144" s="97" t="s">
        <v>138</v>
      </c>
      <c r="BA144" s="97" t="s">
        <v>12</v>
      </c>
      <c r="BB144" s="97" t="s">
        <v>111</v>
      </c>
      <c r="BC144" s="97" t="s">
        <v>13</v>
      </c>
      <c r="BD144" s="97" t="s">
        <v>10</v>
      </c>
      <c r="BE144" s="97" t="s">
        <v>137</v>
      </c>
      <c r="BF144" s="97" t="s">
        <v>139</v>
      </c>
      <c r="BG144" s="97" t="s">
        <v>138</v>
      </c>
      <c r="BH144" s="97" t="s">
        <v>12</v>
      </c>
      <c r="BI144" s="97" t="s">
        <v>111</v>
      </c>
      <c r="BJ144" s="97" t="s">
        <v>13</v>
      </c>
      <c r="BK144" s="97" t="s">
        <v>10</v>
      </c>
      <c r="BL144" s="97" t="s">
        <v>137</v>
      </c>
      <c r="BM144" s="97" t="s">
        <v>139</v>
      </c>
      <c r="BN144" s="97" t="s">
        <v>138</v>
      </c>
      <c r="BO144" s="97" t="s">
        <v>12</v>
      </c>
      <c r="BP144" s="97" t="s">
        <v>111</v>
      </c>
      <c r="BQ144" s="97" t="s">
        <v>13</v>
      </c>
      <c r="BR144" s="97" t="s">
        <v>10</v>
      </c>
      <c r="BS144" s="97" t="s">
        <v>137</v>
      </c>
      <c r="BT144" s="97" t="s">
        <v>139</v>
      </c>
      <c r="BU144" s="24">
        <v>0</v>
      </c>
      <c r="BV144" s="24">
        <v>1</v>
      </c>
      <c r="BW144" s="24">
        <v>2</v>
      </c>
      <c r="BX144" s="24" t="s">
        <v>140</v>
      </c>
      <c r="BY144" s="24">
        <v>0</v>
      </c>
      <c r="BZ144" s="24">
        <v>1</v>
      </c>
      <c r="CA144" s="24">
        <v>2</v>
      </c>
      <c r="CB144" s="24" t="s">
        <v>140</v>
      </c>
      <c r="CC144" s="96" t="s">
        <v>141</v>
      </c>
      <c r="CD144" s="96" t="s">
        <v>142</v>
      </c>
      <c r="CE144" s="96" t="s">
        <v>143</v>
      </c>
      <c r="CF144" s="96" t="s">
        <v>144</v>
      </c>
      <c r="CG144" s="24" t="s">
        <v>145</v>
      </c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</row>
    <row r="145" spans="1:16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98">
        <f>DATA!A2</f>
        <v>43391</v>
      </c>
      <c r="AN145" s="99" t="str">
        <f>DATA!C2</f>
        <v>Каманда 1</v>
      </c>
      <c r="AO145" s="99">
        <f>DATA!D2</f>
        <v>1</v>
      </c>
      <c r="AP145" s="99" t="str">
        <f>DATA!E2</f>
        <v>1:1</v>
      </c>
      <c r="AQ145" s="66"/>
      <c r="AR145" s="66" t="str">
        <f t="shared" ref="AR145:AR154" si="48">AN145</f>
        <v>Каманда 1</v>
      </c>
      <c r="AS145" s="66">
        <f t="shared" ref="AS145:AS154" si="49">AO145</f>
        <v>1</v>
      </c>
      <c r="AT145" s="40">
        <f t="shared" ref="AT145:AT154" si="50">VALUE(LEFT(AP145,FIND(":",AP145,1)-1))</f>
        <v>1</v>
      </c>
      <c r="AU145" s="40">
        <f t="shared" ref="AU145:AU154" si="51">VALUE(LEFT(RIGHT(AP145,LEN(AP145)-FIND(":",AP145,1)),100))</f>
        <v>1</v>
      </c>
      <c r="AV145" s="24" t="str">
        <f t="shared" ref="AV145:AV154" si="52">IF(AR145=$AO$144,"Дома","В гостях")</f>
        <v>Дома</v>
      </c>
      <c r="AW145" s="24" t="str">
        <f t="shared" ref="AW145:AW154" si="53">IF(AV145="Дома",IF(AT145&gt;AU145,"В",IF(AT145=AU145,"Н","П")),IF(AT145&lt;AU145,"В",IF(AT145=AU145,"Н","П")))</f>
        <v>Н</v>
      </c>
      <c r="AX145" s="40">
        <f t="shared" ref="AX145:AX154" si="54">IF(AV145="Дома",AT145,AU145)</f>
        <v>1</v>
      </c>
      <c r="AY145" s="40">
        <f t="shared" ref="AY145:AY154" si="55">IF(AV145="Дома",AU145,AT145)</f>
        <v>1</v>
      </c>
      <c r="AZ145" s="40">
        <v>1</v>
      </c>
      <c r="BA145" s="40">
        <f>IF(AW145="В",1,0)</f>
        <v>0</v>
      </c>
      <c r="BB145" s="40">
        <f>IF(AW145="Н",1,0)</f>
        <v>1</v>
      </c>
      <c r="BC145" s="40">
        <f>IF(AW145="П",1,0)</f>
        <v>0</v>
      </c>
      <c r="BD145" s="40">
        <f>AX145</f>
        <v>1</v>
      </c>
      <c r="BE145" s="40">
        <f>AY145</f>
        <v>1</v>
      </c>
      <c r="BF145" s="40">
        <f t="shared" ref="BF145:BF154" si="56">BA145*3+BB145</f>
        <v>1</v>
      </c>
      <c r="BG145" s="40">
        <f>IF(AV145="Дома",1,0)</f>
        <v>1</v>
      </c>
      <c r="BH145" s="40">
        <f>IF(AV145="Дома",IF(AW145="В",1,0),0)</f>
        <v>0</v>
      </c>
      <c r="BI145" s="40">
        <f>IF(AV145="Дома",IF(AW145="Н",1,0),0)</f>
        <v>1</v>
      </c>
      <c r="BJ145" s="40">
        <f>IF(AV145="Дома",IF(AW145="П",1,0),0)</f>
        <v>0</v>
      </c>
      <c r="BK145" s="40">
        <f>IF(AV145="Дома",AX145,0)</f>
        <v>1</v>
      </c>
      <c r="BL145" s="40">
        <f>IF(AV145="Дома",AY145,0)</f>
        <v>1</v>
      </c>
      <c r="BM145" s="40">
        <f t="shared" ref="BM145:BM154" si="57">BH145*3+BI145</f>
        <v>1</v>
      </c>
      <c r="BN145" s="40">
        <f>IF(AV145&lt;&gt;"Дома",1,0)</f>
        <v>0</v>
      </c>
      <c r="BO145" s="40">
        <f>IF(AV145&lt;&gt;"Дома",IF(AW145="В",1,0),0)</f>
        <v>0</v>
      </c>
      <c r="BP145" s="40">
        <f>IF(AV145&lt;&gt;"Дома",IF(AW145="Н",1,0),0)</f>
        <v>0</v>
      </c>
      <c r="BQ145" s="40">
        <f>IF(AV145&lt;&gt;"Дома",IF(AW145="П",1,0),0)</f>
        <v>0</v>
      </c>
      <c r="BR145" s="40">
        <f>IF(AV145&lt;&gt;"Дома",AX145,0)</f>
        <v>0</v>
      </c>
      <c r="BS145" s="40">
        <f>IF(AV145&lt;&gt;"Дома",AY145,0)</f>
        <v>0</v>
      </c>
      <c r="BT145" s="40">
        <f t="shared" ref="BT145:BT154" si="58">BO145*3+BP145</f>
        <v>0</v>
      </c>
      <c r="BU145" s="24">
        <f>IF(AV145="Дома",IF(AX145=0,1,0),0)</f>
        <v>0</v>
      </c>
      <c r="BV145" s="24">
        <f>IF(AV145="Дома",IF(AX145=1,1,0),0)</f>
        <v>1</v>
      </c>
      <c r="BW145" s="24">
        <f>IF(AV145="Дома",IF(AX145=2,1,0),0)</f>
        <v>0</v>
      </c>
      <c r="BX145" s="24">
        <f>IF(AV145="Дома",IF(AX145&gt;=3,1,0),0)</f>
        <v>0</v>
      </c>
      <c r="BY145" s="24">
        <f>IF(AV145&lt;&gt;"Дома",IF(AX145=0,1,0),0)</f>
        <v>0</v>
      </c>
      <c r="BZ145" s="24">
        <f>IF(AV145&lt;&gt;"Дома",IF(AX145=1,1,0),0)</f>
        <v>0</v>
      </c>
      <c r="CA145" s="24">
        <f>IF(AV145&lt;&gt;"Дома",IF(AX145=2,1,0),0)</f>
        <v>0</v>
      </c>
      <c r="CB145" s="24">
        <f>IF(AV145&lt;&gt;"Дома",IF(AX145&gt;=3,1,0),0)</f>
        <v>0</v>
      </c>
      <c r="CC145" s="43">
        <f t="shared" ref="CC145:CC154" si="59">BD145/AZ145</f>
        <v>1</v>
      </c>
      <c r="CD145" s="43">
        <f t="shared" ref="CD145:CD154" si="60">BE145/AZ145</f>
        <v>1</v>
      </c>
      <c r="CE145" s="100">
        <f t="shared" ref="CE145:CE154" si="61">(BM145/IF(BG145&lt;1,1,BG145)+BT145/IF(BN145&lt;1,1,BN145)*1.5+BK145/IF(BG145&lt;1,1,BG145)+BR145/IF(BN145&lt;1,1,BN145)*1.5-BL145/IF(BG145&lt;1,1,BG145)*1.5-BS145/IF(BN145&lt;1,1,BN145))/15</f>
        <v>3.3333333333333333E-2</v>
      </c>
      <c r="CF145" s="66" t="str">
        <f t="shared" ref="CF145:CF154" si="62">IF(AV145="Дома",IF(AW145="В","В",IF(AW145="Н","Н","П")),"")</f>
        <v>Н</v>
      </c>
      <c r="CG145" s="24">
        <f t="shared" ref="CG145:CG154" si="63">IF(AV145="Дома",AX145+AY145,"")</f>
        <v>2</v>
      </c>
      <c r="CH145" s="24"/>
      <c r="CI145" s="24"/>
      <c r="CJ145" s="24"/>
      <c r="CK145" s="24"/>
      <c r="CL145" s="24"/>
      <c r="CM145" s="24"/>
      <c r="CN145" s="24"/>
      <c r="CO145" s="24"/>
      <c r="CP145" s="24"/>
      <c r="CQ145" s="24"/>
      <c r="CR145" s="24"/>
      <c r="CS145" s="24"/>
      <c r="CT145" s="24"/>
      <c r="CU145" s="24"/>
      <c r="CV145" s="24"/>
      <c r="CW145" s="24"/>
      <c r="CX145" s="24"/>
      <c r="CY145" s="24"/>
      <c r="CZ145" s="24"/>
      <c r="DA145" s="24"/>
      <c r="DB145" s="24"/>
      <c r="DC145" s="24"/>
      <c r="DD145" s="24"/>
      <c r="DE145" s="24"/>
      <c r="DF145" s="24"/>
      <c r="DG145" s="24"/>
      <c r="DH145" s="24"/>
      <c r="DI145" s="24"/>
      <c r="DJ145" s="24"/>
      <c r="DK145" s="24"/>
      <c r="DL145" s="24"/>
      <c r="DM145" s="24"/>
      <c r="DN145" s="24"/>
      <c r="DO145" s="24"/>
      <c r="DP145" s="24"/>
      <c r="DQ145" s="24"/>
      <c r="DR145" s="24"/>
      <c r="DS145" s="24"/>
      <c r="DT145" s="24"/>
      <c r="DU145" s="24"/>
      <c r="DV145" s="24"/>
      <c r="DW145" s="24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</row>
    <row r="146" spans="1:16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98">
        <f>DATA!A3</f>
        <v>43387</v>
      </c>
      <c r="AN146" s="99" t="str">
        <f>DATA!C3</f>
        <v>Каманда 1</v>
      </c>
      <c r="AO146" s="99">
        <f>DATA!D3</f>
        <v>2</v>
      </c>
      <c r="AP146" s="99" t="str">
        <f>DATA!E3</f>
        <v>3:3</v>
      </c>
      <c r="AQ146" s="66"/>
      <c r="AR146" s="66" t="str">
        <f t="shared" si="48"/>
        <v>Каманда 1</v>
      </c>
      <c r="AS146" s="66">
        <f t="shared" si="49"/>
        <v>2</v>
      </c>
      <c r="AT146" s="40">
        <f t="shared" si="50"/>
        <v>3</v>
      </c>
      <c r="AU146" s="40">
        <f t="shared" si="51"/>
        <v>3</v>
      </c>
      <c r="AV146" s="24" t="str">
        <f t="shared" si="52"/>
        <v>Дома</v>
      </c>
      <c r="AW146" s="24" t="str">
        <f t="shared" si="53"/>
        <v>Н</v>
      </c>
      <c r="AX146" s="40">
        <f t="shared" si="54"/>
        <v>3</v>
      </c>
      <c r="AY146" s="40">
        <f t="shared" si="55"/>
        <v>3</v>
      </c>
      <c r="AZ146" s="40">
        <f t="shared" ref="AZ146:AZ154" si="64">AZ145+1</f>
        <v>2</v>
      </c>
      <c r="BA146" s="40">
        <f t="shared" ref="BA146:BA154" si="65">IF(AW146="В",BA145+1,BA145+0)</f>
        <v>0</v>
      </c>
      <c r="BB146" s="40">
        <f t="shared" ref="BB146:BB154" si="66">IF(AW146="Н",BB145+1,BB145+0)</f>
        <v>2</v>
      </c>
      <c r="BC146" s="40">
        <f t="shared" ref="BC146:BC154" si="67">IF(AW146="П",BC145+1,BC145+0)</f>
        <v>0</v>
      </c>
      <c r="BD146" s="40">
        <f t="shared" ref="BD146:BD154" si="68">AX146+BD145</f>
        <v>4</v>
      </c>
      <c r="BE146" s="40">
        <f t="shared" ref="BE146:BE154" si="69">AY146+BE145</f>
        <v>4</v>
      </c>
      <c r="BF146" s="40">
        <f t="shared" si="56"/>
        <v>2</v>
      </c>
      <c r="BG146" s="40">
        <f t="shared" ref="BG146:BG154" si="70">IF(AV146="Дома",BG145+1,BG145+0)</f>
        <v>2</v>
      </c>
      <c r="BH146" s="40">
        <f t="shared" ref="BH146:BH154" si="71">IF(AV146="Дома",IF(AW146="В",BH145+1,BH145+0),BH145+0)</f>
        <v>0</v>
      </c>
      <c r="BI146" s="40">
        <f t="shared" ref="BI146:BI154" si="72">IF(AV146="Дома",IF(AW146="Н",BI145+1,BI145+0),BI145+0)</f>
        <v>2</v>
      </c>
      <c r="BJ146" s="40">
        <f t="shared" ref="BJ146:BJ154" si="73">IF(AV146="Дома",IF(AW146="П",BJ145+1,BJ145+0),BJ145+0)</f>
        <v>0</v>
      </c>
      <c r="BK146" s="40">
        <f t="shared" ref="BK146:BK154" si="74">IF(AV146="Дома",BK145+AX146,BK145+0)</f>
        <v>4</v>
      </c>
      <c r="BL146" s="40">
        <f t="shared" ref="BL146:BL154" si="75">IF(AV146="Дома",BL145+AY146,BL145+0)</f>
        <v>4</v>
      </c>
      <c r="BM146" s="40">
        <f t="shared" si="57"/>
        <v>2</v>
      </c>
      <c r="BN146" s="40">
        <f t="shared" ref="BN146:BN154" si="76">IF(AV146&lt;&gt;"Дома",BN145+1,BN145+0)</f>
        <v>0</v>
      </c>
      <c r="BO146" s="40">
        <f t="shared" ref="BO146:BO154" si="77">IF(AV146&lt;&gt;"Дома",IF(AW146="В",BO145+1,BO145+0),BO145+0)</f>
        <v>0</v>
      </c>
      <c r="BP146" s="40">
        <f t="shared" ref="BP146:BP154" si="78">IF(AV146&lt;&gt;"Дома",IF(AW146="Н",BP145+1,BP145+0),BP145+0)</f>
        <v>0</v>
      </c>
      <c r="BQ146" s="40">
        <f t="shared" ref="BQ146:BQ154" si="79">IF(AV146&lt;&gt;"Дома",IF(AW146="П",BQ145+1,BQ145+0),BQ145+0)</f>
        <v>0</v>
      </c>
      <c r="BR146" s="40">
        <f t="shared" ref="BR146:BR154" si="80">IF(AV146&lt;&gt;"Дома",BR145+AX146,BR145+0)</f>
        <v>0</v>
      </c>
      <c r="BS146" s="40">
        <f t="shared" ref="BS146:BS154" si="81">IF(AV146&lt;&gt;"Дома",BS145+AY146,BS145+0)</f>
        <v>0</v>
      </c>
      <c r="BT146" s="40">
        <f t="shared" si="58"/>
        <v>0</v>
      </c>
      <c r="BU146" s="24">
        <f t="shared" ref="BU146:BU154" si="82">IF(AV146="Дома",IF(AX146=0,BU145+1,BU145),BU145)</f>
        <v>0</v>
      </c>
      <c r="BV146" s="24">
        <f t="shared" ref="BV146:BV154" si="83">IF(AV146="Дома",IF(AX146=1,BV145+1,BV145),BV145)</f>
        <v>1</v>
      </c>
      <c r="BW146" s="24">
        <f t="shared" ref="BW146:BW154" si="84">IF(AV146="Дома",IF(AX146=2,BW145+1,BW145),BW145)</f>
        <v>0</v>
      </c>
      <c r="BX146" s="24">
        <f t="shared" ref="BX146:BX154" si="85">IF(AV146="Дома",IF(AX146&gt;=3,BX145+1,BX145),BX145)</f>
        <v>1</v>
      </c>
      <c r="BY146" s="24">
        <f t="shared" ref="BY146:BY154" si="86">IF(AV146&lt;&gt;"Дома",IF(AX146=0,BY145+1,BY145),BY145)</f>
        <v>0</v>
      </c>
      <c r="BZ146" s="24">
        <f t="shared" ref="BZ146:BZ154" si="87">IF(AV146&lt;&gt;"Дома",IF(AX146=1,BZ145+1,BZ145),BZ145)</f>
        <v>0</v>
      </c>
      <c r="CA146" s="24">
        <f t="shared" ref="CA146:CA154" si="88">IF(AV146&lt;&gt;"Дома",IF(AX146=2,CA145+1,CA145),CA145)</f>
        <v>0</v>
      </c>
      <c r="CB146" s="24">
        <f t="shared" ref="CB146:CB154" si="89">IF(AV146&lt;&gt;"Дома",IF(AX146&gt;=3,CB145+1,CB145),CB145)</f>
        <v>0</v>
      </c>
      <c r="CC146" s="43">
        <f t="shared" si="59"/>
        <v>2</v>
      </c>
      <c r="CD146" s="43">
        <f t="shared" si="60"/>
        <v>2</v>
      </c>
      <c r="CE146" s="100">
        <f t="shared" si="61"/>
        <v>0</v>
      </c>
      <c r="CF146" s="66" t="str">
        <f t="shared" si="62"/>
        <v>Н</v>
      </c>
      <c r="CG146" s="24">
        <f t="shared" si="63"/>
        <v>6</v>
      </c>
      <c r="CH146" s="24"/>
      <c r="CI146" s="24"/>
      <c r="CJ146" s="24"/>
      <c r="CK146" s="24"/>
      <c r="CL146" s="24"/>
      <c r="CM146" s="24"/>
      <c r="CN146" s="24"/>
      <c r="CO146" s="24"/>
      <c r="CP146" s="24"/>
      <c r="CQ146" s="24"/>
      <c r="CR146" s="24"/>
      <c r="CS146" s="24"/>
      <c r="CT146" s="24"/>
      <c r="CU146" s="24"/>
      <c r="CV146" s="24"/>
      <c r="CW146" s="24"/>
      <c r="CX146" s="24"/>
      <c r="CY146" s="24"/>
      <c r="CZ146" s="24"/>
      <c r="DA146" s="24"/>
      <c r="DB146" s="24"/>
      <c r="DC146" s="24"/>
      <c r="DD146" s="24"/>
      <c r="DE146" s="24"/>
      <c r="DF146" s="24"/>
      <c r="DG146" s="24"/>
      <c r="DH146" s="24"/>
      <c r="DI146" s="24"/>
      <c r="DJ146" s="24"/>
      <c r="DK146" s="24"/>
      <c r="DL146" s="24"/>
      <c r="DM146" s="24"/>
      <c r="DN146" s="24"/>
      <c r="DO146" s="24"/>
      <c r="DP146" s="24"/>
      <c r="DQ146" s="24"/>
      <c r="DR146" s="24"/>
      <c r="DS146" s="24"/>
      <c r="DT146" s="24"/>
      <c r="DU146" s="24"/>
      <c r="DV146" s="24"/>
      <c r="DW146" s="24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</row>
    <row r="147" spans="1:16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98">
        <f>DATA!A4</f>
        <v>43386</v>
      </c>
      <c r="AN147" s="99" t="str">
        <f>DATA!C4</f>
        <v>Каманда 1</v>
      </c>
      <c r="AO147" s="99">
        <f>DATA!D4</f>
        <v>3</v>
      </c>
      <c r="AP147" s="99" t="str">
        <f>DATA!E4</f>
        <v>4:3</v>
      </c>
      <c r="AQ147" s="66"/>
      <c r="AR147" s="66" t="str">
        <f t="shared" si="48"/>
        <v>Каманда 1</v>
      </c>
      <c r="AS147" s="66">
        <f t="shared" si="49"/>
        <v>3</v>
      </c>
      <c r="AT147" s="40">
        <f t="shared" si="50"/>
        <v>4</v>
      </c>
      <c r="AU147" s="40">
        <f t="shared" si="51"/>
        <v>3</v>
      </c>
      <c r="AV147" s="24" t="str">
        <f t="shared" si="52"/>
        <v>Дома</v>
      </c>
      <c r="AW147" s="24" t="str">
        <f t="shared" si="53"/>
        <v>В</v>
      </c>
      <c r="AX147" s="40">
        <f t="shared" si="54"/>
        <v>4</v>
      </c>
      <c r="AY147" s="40">
        <f t="shared" si="55"/>
        <v>3</v>
      </c>
      <c r="AZ147" s="40">
        <f t="shared" si="64"/>
        <v>3</v>
      </c>
      <c r="BA147" s="40">
        <f t="shared" si="65"/>
        <v>1</v>
      </c>
      <c r="BB147" s="40">
        <f t="shared" si="66"/>
        <v>2</v>
      </c>
      <c r="BC147" s="40">
        <f t="shared" si="67"/>
        <v>0</v>
      </c>
      <c r="BD147" s="40">
        <f t="shared" si="68"/>
        <v>8</v>
      </c>
      <c r="BE147" s="40">
        <f t="shared" si="69"/>
        <v>7</v>
      </c>
      <c r="BF147" s="40">
        <f t="shared" si="56"/>
        <v>5</v>
      </c>
      <c r="BG147" s="40">
        <f t="shared" si="70"/>
        <v>3</v>
      </c>
      <c r="BH147" s="40">
        <f t="shared" si="71"/>
        <v>1</v>
      </c>
      <c r="BI147" s="40">
        <f t="shared" si="72"/>
        <v>2</v>
      </c>
      <c r="BJ147" s="40">
        <f t="shared" si="73"/>
        <v>0</v>
      </c>
      <c r="BK147" s="40">
        <f t="shared" si="74"/>
        <v>8</v>
      </c>
      <c r="BL147" s="40">
        <f t="shared" si="75"/>
        <v>7</v>
      </c>
      <c r="BM147" s="40">
        <f t="shared" si="57"/>
        <v>5</v>
      </c>
      <c r="BN147" s="40">
        <f t="shared" si="76"/>
        <v>0</v>
      </c>
      <c r="BO147" s="40">
        <f t="shared" si="77"/>
        <v>0</v>
      </c>
      <c r="BP147" s="40">
        <f t="shared" si="78"/>
        <v>0</v>
      </c>
      <c r="BQ147" s="40">
        <f t="shared" si="79"/>
        <v>0</v>
      </c>
      <c r="BR147" s="40">
        <f t="shared" si="80"/>
        <v>0</v>
      </c>
      <c r="BS147" s="40">
        <f t="shared" si="81"/>
        <v>0</v>
      </c>
      <c r="BT147" s="40">
        <f t="shared" si="58"/>
        <v>0</v>
      </c>
      <c r="BU147" s="24">
        <f t="shared" si="82"/>
        <v>0</v>
      </c>
      <c r="BV147" s="24">
        <f t="shared" si="83"/>
        <v>1</v>
      </c>
      <c r="BW147" s="24">
        <f t="shared" si="84"/>
        <v>0</v>
      </c>
      <c r="BX147" s="24">
        <f t="shared" si="85"/>
        <v>2</v>
      </c>
      <c r="BY147" s="24">
        <f t="shared" si="86"/>
        <v>0</v>
      </c>
      <c r="BZ147" s="24">
        <f t="shared" si="87"/>
        <v>0</v>
      </c>
      <c r="CA147" s="24">
        <f t="shared" si="88"/>
        <v>0</v>
      </c>
      <c r="CB147" s="24">
        <f t="shared" si="89"/>
        <v>0</v>
      </c>
      <c r="CC147" s="43">
        <f t="shared" si="59"/>
        <v>2.6666666666666665</v>
      </c>
      <c r="CD147" s="43">
        <f t="shared" si="60"/>
        <v>2.3333333333333335</v>
      </c>
      <c r="CE147" s="100">
        <f t="shared" si="61"/>
        <v>5.5555555555555539E-2</v>
      </c>
      <c r="CF147" s="66" t="str">
        <f t="shared" si="62"/>
        <v>В</v>
      </c>
      <c r="CG147" s="24">
        <f t="shared" si="63"/>
        <v>7</v>
      </c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</row>
    <row r="148" spans="1:16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98">
        <f>DATA!A5</f>
        <v>43378</v>
      </c>
      <c r="AN148" s="99" t="str">
        <f>DATA!C5</f>
        <v>Каманда 1</v>
      </c>
      <c r="AO148" s="99">
        <f>DATA!D5</f>
        <v>4</v>
      </c>
      <c r="AP148" s="99" t="str">
        <f>DATA!E5</f>
        <v>1:4</v>
      </c>
      <c r="AQ148" s="66"/>
      <c r="AR148" s="66" t="str">
        <f t="shared" si="48"/>
        <v>Каманда 1</v>
      </c>
      <c r="AS148" s="66">
        <f t="shared" si="49"/>
        <v>4</v>
      </c>
      <c r="AT148" s="40">
        <f t="shared" si="50"/>
        <v>1</v>
      </c>
      <c r="AU148" s="40">
        <f t="shared" si="51"/>
        <v>4</v>
      </c>
      <c r="AV148" s="24" t="str">
        <f t="shared" si="52"/>
        <v>Дома</v>
      </c>
      <c r="AW148" s="24" t="str">
        <f t="shared" si="53"/>
        <v>П</v>
      </c>
      <c r="AX148" s="40">
        <f t="shared" si="54"/>
        <v>1</v>
      </c>
      <c r="AY148" s="40">
        <f t="shared" si="55"/>
        <v>4</v>
      </c>
      <c r="AZ148" s="40">
        <f t="shared" si="64"/>
        <v>4</v>
      </c>
      <c r="BA148" s="40">
        <f t="shared" si="65"/>
        <v>1</v>
      </c>
      <c r="BB148" s="40">
        <f t="shared" si="66"/>
        <v>2</v>
      </c>
      <c r="BC148" s="40">
        <f t="shared" si="67"/>
        <v>1</v>
      </c>
      <c r="BD148" s="40">
        <f t="shared" si="68"/>
        <v>9</v>
      </c>
      <c r="BE148" s="40">
        <f t="shared" si="69"/>
        <v>11</v>
      </c>
      <c r="BF148" s="40">
        <f t="shared" si="56"/>
        <v>5</v>
      </c>
      <c r="BG148" s="40">
        <f t="shared" si="70"/>
        <v>4</v>
      </c>
      <c r="BH148" s="40">
        <f t="shared" si="71"/>
        <v>1</v>
      </c>
      <c r="BI148" s="40">
        <f t="shared" si="72"/>
        <v>2</v>
      </c>
      <c r="BJ148" s="40">
        <f t="shared" si="73"/>
        <v>1</v>
      </c>
      <c r="BK148" s="40">
        <f t="shared" si="74"/>
        <v>9</v>
      </c>
      <c r="BL148" s="40">
        <f t="shared" si="75"/>
        <v>11</v>
      </c>
      <c r="BM148" s="40">
        <f t="shared" si="57"/>
        <v>5</v>
      </c>
      <c r="BN148" s="40">
        <f t="shared" si="76"/>
        <v>0</v>
      </c>
      <c r="BO148" s="40">
        <f t="shared" si="77"/>
        <v>0</v>
      </c>
      <c r="BP148" s="40">
        <f t="shared" si="78"/>
        <v>0</v>
      </c>
      <c r="BQ148" s="40">
        <f t="shared" si="79"/>
        <v>0</v>
      </c>
      <c r="BR148" s="40">
        <f t="shared" si="80"/>
        <v>0</v>
      </c>
      <c r="BS148" s="40">
        <f t="shared" si="81"/>
        <v>0</v>
      </c>
      <c r="BT148" s="40">
        <f t="shared" si="58"/>
        <v>0</v>
      </c>
      <c r="BU148" s="24">
        <f t="shared" si="82"/>
        <v>0</v>
      </c>
      <c r="BV148" s="24">
        <f t="shared" si="83"/>
        <v>2</v>
      </c>
      <c r="BW148" s="24">
        <f t="shared" si="84"/>
        <v>0</v>
      </c>
      <c r="BX148" s="24">
        <f t="shared" si="85"/>
        <v>2</v>
      </c>
      <c r="BY148" s="24">
        <f t="shared" si="86"/>
        <v>0</v>
      </c>
      <c r="BZ148" s="24">
        <f t="shared" si="87"/>
        <v>0</v>
      </c>
      <c r="CA148" s="24">
        <f t="shared" si="88"/>
        <v>0</v>
      </c>
      <c r="CB148" s="24">
        <f t="shared" si="89"/>
        <v>0</v>
      </c>
      <c r="CC148" s="43">
        <f t="shared" si="59"/>
        <v>2.25</v>
      </c>
      <c r="CD148" s="43">
        <f t="shared" si="60"/>
        <v>2.75</v>
      </c>
      <c r="CE148" s="100">
        <f t="shared" si="61"/>
        <v>-4.1666666666666664E-2</v>
      </c>
      <c r="CF148" s="66" t="str">
        <f t="shared" si="62"/>
        <v>П</v>
      </c>
      <c r="CG148" s="24">
        <f t="shared" si="63"/>
        <v>5</v>
      </c>
      <c r="CH148" s="24"/>
      <c r="CI148" s="24"/>
      <c r="CJ148" s="24"/>
      <c r="CK148" s="24"/>
      <c r="CL148" s="24"/>
      <c r="CM148" s="24"/>
      <c r="CN148" s="24"/>
      <c r="CO148" s="24"/>
      <c r="CP148" s="24"/>
      <c r="CQ148" s="24"/>
      <c r="CR148" s="24"/>
      <c r="CS148" s="24"/>
      <c r="CT148" s="24"/>
      <c r="CU148" s="24"/>
      <c r="CV148" s="24"/>
      <c r="CW148" s="24"/>
      <c r="CX148" s="24"/>
      <c r="CY148" s="24"/>
      <c r="CZ148" s="24"/>
      <c r="DA148" s="24"/>
      <c r="DB148" s="24"/>
      <c r="DC148" s="24"/>
      <c r="DD148" s="24"/>
      <c r="DE148" s="24"/>
      <c r="DF148" s="24"/>
      <c r="DG148" s="24"/>
      <c r="DH148" s="24"/>
      <c r="DI148" s="24"/>
      <c r="DJ148" s="24"/>
      <c r="DK148" s="24"/>
      <c r="DL148" s="24"/>
      <c r="DM148" s="24"/>
      <c r="DN148" s="24"/>
      <c r="DO148" s="24"/>
      <c r="DP148" s="24"/>
      <c r="DQ148" s="24"/>
      <c r="DR148" s="24"/>
      <c r="DS148" s="24"/>
      <c r="DT148" s="24"/>
      <c r="DU148" s="24"/>
      <c r="DV148" s="24"/>
      <c r="DW148" s="24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</row>
    <row r="149" spans="1:16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98">
        <f>DATA!A6</f>
        <v>43374</v>
      </c>
      <c r="AN149" s="99" t="str">
        <f>DATA!C6</f>
        <v>Каманда 1</v>
      </c>
      <c r="AO149" s="99">
        <f>DATA!D6</f>
        <v>5</v>
      </c>
      <c r="AP149" s="99" t="str">
        <f>DATA!E6</f>
        <v>3:3</v>
      </c>
      <c r="AQ149" s="66"/>
      <c r="AR149" s="66" t="str">
        <f t="shared" si="48"/>
        <v>Каманда 1</v>
      </c>
      <c r="AS149" s="66">
        <f t="shared" si="49"/>
        <v>5</v>
      </c>
      <c r="AT149" s="40">
        <f t="shared" si="50"/>
        <v>3</v>
      </c>
      <c r="AU149" s="40">
        <f t="shared" si="51"/>
        <v>3</v>
      </c>
      <c r="AV149" s="24" t="str">
        <f t="shared" si="52"/>
        <v>Дома</v>
      </c>
      <c r="AW149" s="24" t="str">
        <f t="shared" si="53"/>
        <v>Н</v>
      </c>
      <c r="AX149" s="40">
        <f t="shared" si="54"/>
        <v>3</v>
      </c>
      <c r="AY149" s="40">
        <f t="shared" si="55"/>
        <v>3</v>
      </c>
      <c r="AZ149" s="40">
        <f t="shared" si="64"/>
        <v>5</v>
      </c>
      <c r="BA149" s="40">
        <f t="shared" si="65"/>
        <v>1</v>
      </c>
      <c r="BB149" s="40">
        <f t="shared" si="66"/>
        <v>3</v>
      </c>
      <c r="BC149" s="40">
        <f t="shared" si="67"/>
        <v>1</v>
      </c>
      <c r="BD149" s="40">
        <f t="shared" si="68"/>
        <v>12</v>
      </c>
      <c r="BE149" s="40">
        <f t="shared" si="69"/>
        <v>14</v>
      </c>
      <c r="BF149" s="40">
        <f t="shared" si="56"/>
        <v>6</v>
      </c>
      <c r="BG149" s="40">
        <f t="shared" si="70"/>
        <v>5</v>
      </c>
      <c r="BH149" s="40">
        <f t="shared" si="71"/>
        <v>1</v>
      </c>
      <c r="BI149" s="40">
        <f t="shared" si="72"/>
        <v>3</v>
      </c>
      <c r="BJ149" s="40">
        <f t="shared" si="73"/>
        <v>1</v>
      </c>
      <c r="BK149" s="40">
        <f t="shared" si="74"/>
        <v>12</v>
      </c>
      <c r="BL149" s="40">
        <f t="shared" si="75"/>
        <v>14</v>
      </c>
      <c r="BM149" s="40">
        <f t="shared" si="57"/>
        <v>6</v>
      </c>
      <c r="BN149" s="40">
        <f t="shared" si="76"/>
        <v>0</v>
      </c>
      <c r="BO149" s="40">
        <f t="shared" si="77"/>
        <v>0</v>
      </c>
      <c r="BP149" s="40">
        <f t="shared" si="78"/>
        <v>0</v>
      </c>
      <c r="BQ149" s="40">
        <f t="shared" si="79"/>
        <v>0</v>
      </c>
      <c r="BR149" s="40">
        <f t="shared" si="80"/>
        <v>0</v>
      </c>
      <c r="BS149" s="40">
        <f t="shared" si="81"/>
        <v>0</v>
      </c>
      <c r="BT149" s="40">
        <f t="shared" si="58"/>
        <v>0</v>
      </c>
      <c r="BU149" s="24">
        <f t="shared" si="82"/>
        <v>0</v>
      </c>
      <c r="BV149" s="24">
        <f t="shared" si="83"/>
        <v>2</v>
      </c>
      <c r="BW149" s="24">
        <f t="shared" si="84"/>
        <v>0</v>
      </c>
      <c r="BX149" s="24">
        <f t="shared" si="85"/>
        <v>3</v>
      </c>
      <c r="BY149" s="24">
        <f t="shared" si="86"/>
        <v>0</v>
      </c>
      <c r="BZ149" s="24">
        <f t="shared" si="87"/>
        <v>0</v>
      </c>
      <c r="CA149" s="24">
        <f t="shared" si="88"/>
        <v>0</v>
      </c>
      <c r="CB149" s="24">
        <f t="shared" si="89"/>
        <v>0</v>
      </c>
      <c r="CC149" s="43">
        <f t="shared" si="59"/>
        <v>2.4</v>
      </c>
      <c r="CD149" s="43">
        <f t="shared" si="60"/>
        <v>2.8</v>
      </c>
      <c r="CE149" s="100">
        <f t="shared" si="61"/>
        <v>-3.9999999999999973E-2</v>
      </c>
      <c r="CF149" s="66" t="str">
        <f t="shared" si="62"/>
        <v>Н</v>
      </c>
      <c r="CG149" s="24">
        <f t="shared" si="63"/>
        <v>6</v>
      </c>
      <c r="CH149" s="24"/>
      <c r="CI149" s="24"/>
      <c r="CJ149" s="24"/>
      <c r="CK149" s="24"/>
      <c r="CL149" s="24"/>
      <c r="CM149" s="24"/>
      <c r="CN149" s="24"/>
      <c r="CO149" s="24"/>
      <c r="CP149" s="24"/>
      <c r="CQ149" s="24"/>
      <c r="CR149" s="24"/>
      <c r="CS149" s="24"/>
      <c r="CT149" s="24"/>
      <c r="CU149" s="24"/>
      <c r="CV149" s="24"/>
      <c r="CW149" s="24"/>
      <c r="CX149" s="24"/>
      <c r="CY149" s="24"/>
      <c r="CZ149" s="24"/>
      <c r="DA149" s="24"/>
      <c r="DB149" s="24"/>
      <c r="DC149" s="24"/>
      <c r="DD149" s="24"/>
      <c r="DE149" s="24"/>
      <c r="DF149" s="24"/>
      <c r="DG149" s="24"/>
      <c r="DH149" s="24"/>
      <c r="DI149" s="24"/>
      <c r="DJ149" s="24"/>
      <c r="DK149" s="24"/>
      <c r="DL149" s="24"/>
      <c r="DM149" s="24"/>
      <c r="DN149" s="24"/>
      <c r="DO149" s="24"/>
      <c r="DP149" s="24"/>
      <c r="DQ149" s="24"/>
      <c r="DR149" s="24"/>
      <c r="DS149" s="24"/>
      <c r="DT149" s="24"/>
      <c r="DU149" s="24"/>
      <c r="DV149" s="24"/>
      <c r="DW149" s="24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</row>
    <row r="150" spans="1:16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98">
        <f>DATA!A7</f>
        <v>43372</v>
      </c>
      <c r="AN150" s="99" t="str">
        <f>DATA!C7</f>
        <v>Каманда 1</v>
      </c>
      <c r="AO150" s="99">
        <f>DATA!D7</f>
        <v>6</v>
      </c>
      <c r="AP150" s="99" t="str">
        <f>DATA!E7</f>
        <v>3:2</v>
      </c>
      <c r="AQ150" s="66"/>
      <c r="AR150" s="66" t="str">
        <f t="shared" si="48"/>
        <v>Каманда 1</v>
      </c>
      <c r="AS150" s="66">
        <f t="shared" si="49"/>
        <v>6</v>
      </c>
      <c r="AT150" s="40">
        <f t="shared" si="50"/>
        <v>3</v>
      </c>
      <c r="AU150" s="40">
        <f t="shared" si="51"/>
        <v>2</v>
      </c>
      <c r="AV150" s="24" t="str">
        <f t="shared" si="52"/>
        <v>Дома</v>
      </c>
      <c r="AW150" s="24" t="str">
        <f t="shared" si="53"/>
        <v>В</v>
      </c>
      <c r="AX150" s="40">
        <f t="shared" si="54"/>
        <v>3</v>
      </c>
      <c r="AY150" s="40">
        <f t="shared" si="55"/>
        <v>2</v>
      </c>
      <c r="AZ150" s="40">
        <f t="shared" si="64"/>
        <v>6</v>
      </c>
      <c r="BA150" s="40">
        <f t="shared" si="65"/>
        <v>2</v>
      </c>
      <c r="BB150" s="40">
        <f t="shared" si="66"/>
        <v>3</v>
      </c>
      <c r="BC150" s="40">
        <f t="shared" si="67"/>
        <v>1</v>
      </c>
      <c r="BD150" s="40">
        <f t="shared" si="68"/>
        <v>15</v>
      </c>
      <c r="BE150" s="40">
        <f t="shared" si="69"/>
        <v>16</v>
      </c>
      <c r="BF150" s="40">
        <f t="shared" si="56"/>
        <v>9</v>
      </c>
      <c r="BG150" s="40">
        <f t="shared" si="70"/>
        <v>6</v>
      </c>
      <c r="BH150" s="40">
        <f t="shared" si="71"/>
        <v>2</v>
      </c>
      <c r="BI150" s="40">
        <f t="shared" si="72"/>
        <v>3</v>
      </c>
      <c r="BJ150" s="40">
        <f t="shared" si="73"/>
        <v>1</v>
      </c>
      <c r="BK150" s="40">
        <f t="shared" si="74"/>
        <v>15</v>
      </c>
      <c r="BL150" s="40">
        <f t="shared" si="75"/>
        <v>16</v>
      </c>
      <c r="BM150" s="40">
        <f t="shared" si="57"/>
        <v>9</v>
      </c>
      <c r="BN150" s="40">
        <f t="shared" si="76"/>
        <v>0</v>
      </c>
      <c r="BO150" s="40">
        <f t="shared" si="77"/>
        <v>0</v>
      </c>
      <c r="BP150" s="40">
        <f t="shared" si="78"/>
        <v>0</v>
      </c>
      <c r="BQ150" s="40">
        <f t="shared" si="79"/>
        <v>0</v>
      </c>
      <c r="BR150" s="40">
        <f t="shared" si="80"/>
        <v>0</v>
      </c>
      <c r="BS150" s="40">
        <f t="shared" si="81"/>
        <v>0</v>
      </c>
      <c r="BT150" s="40">
        <f t="shared" si="58"/>
        <v>0</v>
      </c>
      <c r="BU150" s="24">
        <f t="shared" si="82"/>
        <v>0</v>
      </c>
      <c r="BV150" s="24">
        <f t="shared" si="83"/>
        <v>2</v>
      </c>
      <c r="BW150" s="24">
        <f t="shared" si="84"/>
        <v>0</v>
      </c>
      <c r="BX150" s="24">
        <f t="shared" si="85"/>
        <v>4</v>
      </c>
      <c r="BY150" s="24">
        <f t="shared" si="86"/>
        <v>0</v>
      </c>
      <c r="BZ150" s="24">
        <f t="shared" si="87"/>
        <v>0</v>
      </c>
      <c r="CA150" s="24">
        <f t="shared" si="88"/>
        <v>0</v>
      </c>
      <c r="CB150" s="24">
        <f t="shared" si="89"/>
        <v>0</v>
      </c>
      <c r="CC150" s="43">
        <f t="shared" si="59"/>
        <v>2.5</v>
      </c>
      <c r="CD150" s="43">
        <f t="shared" si="60"/>
        <v>2.6666666666666665</v>
      </c>
      <c r="CE150" s="100">
        <f t="shared" si="61"/>
        <v>0</v>
      </c>
      <c r="CF150" s="66" t="str">
        <f t="shared" si="62"/>
        <v>В</v>
      </c>
      <c r="CG150" s="24">
        <f t="shared" si="63"/>
        <v>5</v>
      </c>
      <c r="CH150" s="24"/>
      <c r="CI150" s="24"/>
      <c r="CJ150" s="24"/>
      <c r="CK150" s="24"/>
      <c r="CL150" s="24"/>
      <c r="CM150" s="24"/>
      <c r="CN150" s="24"/>
      <c r="CO150" s="24"/>
      <c r="CP150" s="24"/>
      <c r="CQ150" s="24"/>
      <c r="CR150" s="24"/>
      <c r="CS150" s="24"/>
      <c r="CT150" s="24"/>
      <c r="CU150" s="24"/>
      <c r="CV150" s="24"/>
      <c r="CW150" s="24"/>
      <c r="CX150" s="24"/>
      <c r="CY150" s="24"/>
      <c r="CZ150" s="24"/>
      <c r="DA150" s="24"/>
      <c r="DB150" s="24"/>
      <c r="DC150" s="24"/>
      <c r="DD150" s="24"/>
      <c r="DE150" s="24"/>
      <c r="DF150" s="24"/>
      <c r="DG150" s="24"/>
      <c r="DH150" s="24"/>
      <c r="DI150" s="24"/>
      <c r="DJ150" s="24"/>
      <c r="DK150" s="24"/>
      <c r="DL150" s="24"/>
      <c r="DM150" s="24"/>
      <c r="DN150" s="24"/>
      <c r="DO150" s="24"/>
      <c r="DP150" s="24"/>
      <c r="DQ150" s="24"/>
      <c r="DR150" s="24"/>
      <c r="DS150" s="24"/>
      <c r="DT150" s="24"/>
      <c r="DU150" s="24"/>
      <c r="DV150" s="24"/>
      <c r="DW150" s="24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</row>
    <row r="151" spans="1:16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98">
        <f>DATA!A8</f>
        <v>43366</v>
      </c>
      <c r="AN151" s="99" t="str">
        <f>DATA!C8</f>
        <v>Каманда 1</v>
      </c>
      <c r="AO151" s="99">
        <f>DATA!D8</f>
        <v>7</v>
      </c>
      <c r="AP151" s="99" t="str">
        <f>DATA!E8</f>
        <v>3:3</v>
      </c>
      <c r="AQ151" s="66"/>
      <c r="AR151" s="66" t="str">
        <f t="shared" si="48"/>
        <v>Каманда 1</v>
      </c>
      <c r="AS151" s="66">
        <f t="shared" si="49"/>
        <v>7</v>
      </c>
      <c r="AT151" s="40">
        <f t="shared" si="50"/>
        <v>3</v>
      </c>
      <c r="AU151" s="40">
        <f t="shared" si="51"/>
        <v>3</v>
      </c>
      <c r="AV151" s="24" t="str">
        <f t="shared" si="52"/>
        <v>Дома</v>
      </c>
      <c r="AW151" s="24" t="str">
        <f t="shared" si="53"/>
        <v>Н</v>
      </c>
      <c r="AX151" s="40">
        <f t="shared" si="54"/>
        <v>3</v>
      </c>
      <c r="AY151" s="40">
        <f t="shared" si="55"/>
        <v>3</v>
      </c>
      <c r="AZ151" s="40">
        <f t="shared" si="64"/>
        <v>7</v>
      </c>
      <c r="BA151" s="40">
        <f t="shared" si="65"/>
        <v>2</v>
      </c>
      <c r="BB151" s="40">
        <f t="shared" si="66"/>
        <v>4</v>
      </c>
      <c r="BC151" s="40">
        <f t="shared" si="67"/>
        <v>1</v>
      </c>
      <c r="BD151" s="40">
        <f t="shared" si="68"/>
        <v>18</v>
      </c>
      <c r="BE151" s="40">
        <f t="shared" si="69"/>
        <v>19</v>
      </c>
      <c r="BF151" s="40">
        <f t="shared" si="56"/>
        <v>10</v>
      </c>
      <c r="BG151" s="40">
        <f t="shared" si="70"/>
        <v>7</v>
      </c>
      <c r="BH151" s="40">
        <f t="shared" si="71"/>
        <v>2</v>
      </c>
      <c r="BI151" s="40">
        <f t="shared" si="72"/>
        <v>4</v>
      </c>
      <c r="BJ151" s="40">
        <f t="shared" si="73"/>
        <v>1</v>
      </c>
      <c r="BK151" s="40">
        <f t="shared" si="74"/>
        <v>18</v>
      </c>
      <c r="BL151" s="40">
        <f t="shared" si="75"/>
        <v>19</v>
      </c>
      <c r="BM151" s="40">
        <f t="shared" si="57"/>
        <v>10</v>
      </c>
      <c r="BN151" s="40">
        <f t="shared" si="76"/>
        <v>0</v>
      </c>
      <c r="BO151" s="40">
        <f t="shared" si="77"/>
        <v>0</v>
      </c>
      <c r="BP151" s="40">
        <f t="shared" si="78"/>
        <v>0</v>
      </c>
      <c r="BQ151" s="40">
        <f t="shared" si="79"/>
        <v>0</v>
      </c>
      <c r="BR151" s="40">
        <f t="shared" si="80"/>
        <v>0</v>
      </c>
      <c r="BS151" s="40">
        <f t="shared" si="81"/>
        <v>0</v>
      </c>
      <c r="BT151" s="40">
        <f t="shared" si="58"/>
        <v>0</v>
      </c>
      <c r="BU151" s="24">
        <f t="shared" si="82"/>
        <v>0</v>
      </c>
      <c r="BV151" s="24">
        <f t="shared" si="83"/>
        <v>2</v>
      </c>
      <c r="BW151" s="24">
        <f t="shared" si="84"/>
        <v>0</v>
      </c>
      <c r="BX151" s="24">
        <f t="shared" si="85"/>
        <v>5</v>
      </c>
      <c r="BY151" s="24">
        <f t="shared" si="86"/>
        <v>0</v>
      </c>
      <c r="BZ151" s="24">
        <f t="shared" si="87"/>
        <v>0</v>
      </c>
      <c r="CA151" s="24">
        <f t="shared" si="88"/>
        <v>0</v>
      </c>
      <c r="CB151" s="24">
        <f t="shared" si="89"/>
        <v>0</v>
      </c>
      <c r="CC151" s="43">
        <f t="shared" si="59"/>
        <v>2.5714285714285716</v>
      </c>
      <c r="CD151" s="43">
        <f t="shared" si="60"/>
        <v>2.7142857142857144</v>
      </c>
      <c r="CE151" s="100">
        <f t="shared" si="61"/>
        <v>-4.761904761904745E-3</v>
      </c>
      <c r="CF151" s="66" t="str">
        <f t="shared" si="62"/>
        <v>Н</v>
      </c>
      <c r="CG151" s="24">
        <f t="shared" si="63"/>
        <v>6</v>
      </c>
      <c r="CH151" s="24"/>
      <c r="CI151" s="24"/>
      <c r="CJ151" s="24"/>
      <c r="CK151" s="24"/>
      <c r="CL151" s="24"/>
      <c r="CM151" s="24"/>
      <c r="CN151" s="24"/>
      <c r="CO151" s="24"/>
      <c r="CP151" s="24"/>
      <c r="CQ151" s="24"/>
      <c r="CR151" s="24"/>
      <c r="CS151" s="24"/>
      <c r="CT151" s="24"/>
      <c r="CU151" s="24"/>
      <c r="CV151" s="24"/>
      <c r="CW151" s="24"/>
      <c r="CX151" s="24"/>
      <c r="CY151" s="24"/>
      <c r="CZ151" s="24"/>
      <c r="DA151" s="24"/>
      <c r="DB151" s="24"/>
      <c r="DC151" s="24"/>
      <c r="DD151" s="24"/>
      <c r="DE151" s="24"/>
      <c r="DF151" s="24"/>
      <c r="DG151" s="24"/>
      <c r="DH151" s="24"/>
      <c r="DI151" s="24"/>
      <c r="DJ151" s="24"/>
      <c r="DK151" s="24"/>
      <c r="DL151" s="24"/>
      <c r="DM151" s="24"/>
      <c r="DN151" s="24"/>
      <c r="DO151" s="24"/>
      <c r="DP151" s="24"/>
      <c r="DQ151" s="24"/>
      <c r="DR151" s="24"/>
      <c r="DS151" s="24"/>
      <c r="DT151" s="24"/>
      <c r="DU151" s="24"/>
      <c r="DV151" s="24"/>
      <c r="DW151" s="24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</row>
    <row r="152" spans="1:16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98">
        <f>DATA!A9</f>
        <v>43365</v>
      </c>
      <c r="AN152" s="99" t="str">
        <f>DATA!C9</f>
        <v>Каманда 1</v>
      </c>
      <c r="AO152" s="99">
        <f>DATA!D9</f>
        <v>8</v>
      </c>
      <c r="AP152" s="99" t="str">
        <f>DATA!E9</f>
        <v>2:3</v>
      </c>
      <c r="AQ152" s="66"/>
      <c r="AR152" s="66" t="str">
        <f t="shared" si="48"/>
        <v>Каманда 1</v>
      </c>
      <c r="AS152" s="66">
        <f t="shared" si="49"/>
        <v>8</v>
      </c>
      <c r="AT152" s="40">
        <f t="shared" si="50"/>
        <v>2</v>
      </c>
      <c r="AU152" s="40">
        <f t="shared" si="51"/>
        <v>3</v>
      </c>
      <c r="AV152" s="24" t="str">
        <f t="shared" si="52"/>
        <v>Дома</v>
      </c>
      <c r="AW152" s="24" t="str">
        <f t="shared" si="53"/>
        <v>П</v>
      </c>
      <c r="AX152" s="40">
        <f t="shared" si="54"/>
        <v>2</v>
      </c>
      <c r="AY152" s="40">
        <f t="shared" si="55"/>
        <v>3</v>
      </c>
      <c r="AZ152" s="40">
        <f t="shared" si="64"/>
        <v>8</v>
      </c>
      <c r="BA152" s="40">
        <f t="shared" si="65"/>
        <v>2</v>
      </c>
      <c r="BB152" s="40">
        <f t="shared" si="66"/>
        <v>4</v>
      </c>
      <c r="BC152" s="40">
        <f t="shared" si="67"/>
        <v>2</v>
      </c>
      <c r="BD152" s="40">
        <f t="shared" si="68"/>
        <v>20</v>
      </c>
      <c r="BE152" s="40">
        <f t="shared" si="69"/>
        <v>22</v>
      </c>
      <c r="BF152" s="40">
        <f t="shared" si="56"/>
        <v>10</v>
      </c>
      <c r="BG152" s="40">
        <f t="shared" si="70"/>
        <v>8</v>
      </c>
      <c r="BH152" s="40">
        <f t="shared" si="71"/>
        <v>2</v>
      </c>
      <c r="BI152" s="40">
        <f t="shared" si="72"/>
        <v>4</v>
      </c>
      <c r="BJ152" s="40">
        <f t="shared" si="73"/>
        <v>2</v>
      </c>
      <c r="BK152" s="40">
        <f t="shared" si="74"/>
        <v>20</v>
      </c>
      <c r="BL152" s="40">
        <f t="shared" si="75"/>
        <v>22</v>
      </c>
      <c r="BM152" s="40">
        <f t="shared" si="57"/>
        <v>10</v>
      </c>
      <c r="BN152" s="40">
        <f t="shared" si="76"/>
        <v>0</v>
      </c>
      <c r="BO152" s="40">
        <f t="shared" si="77"/>
        <v>0</v>
      </c>
      <c r="BP152" s="40">
        <f t="shared" si="78"/>
        <v>0</v>
      </c>
      <c r="BQ152" s="40">
        <f t="shared" si="79"/>
        <v>0</v>
      </c>
      <c r="BR152" s="40">
        <f t="shared" si="80"/>
        <v>0</v>
      </c>
      <c r="BS152" s="40">
        <f t="shared" si="81"/>
        <v>0</v>
      </c>
      <c r="BT152" s="40">
        <f t="shared" si="58"/>
        <v>0</v>
      </c>
      <c r="BU152" s="24">
        <f t="shared" si="82"/>
        <v>0</v>
      </c>
      <c r="BV152" s="24">
        <f t="shared" si="83"/>
        <v>2</v>
      </c>
      <c r="BW152" s="24">
        <f t="shared" si="84"/>
        <v>1</v>
      </c>
      <c r="BX152" s="24">
        <f t="shared" si="85"/>
        <v>5</v>
      </c>
      <c r="BY152" s="24">
        <f t="shared" si="86"/>
        <v>0</v>
      </c>
      <c r="BZ152" s="24">
        <f t="shared" si="87"/>
        <v>0</v>
      </c>
      <c r="CA152" s="24">
        <f t="shared" si="88"/>
        <v>0</v>
      </c>
      <c r="CB152" s="24">
        <f t="shared" si="89"/>
        <v>0</v>
      </c>
      <c r="CC152" s="43">
        <f t="shared" si="59"/>
        <v>2.5</v>
      </c>
      <c r="CD152" s="43">
        <f t="shared" si="60"/>
        <v>2.75</v>
      </c>
      <c r="CE152" s="100">
        <f t="shared" si="61"/>
        <v>-2.5000000000000001E-2</v>
      </c>
      <c r="CF152" s="66" t="str">
        <f t="shared" si="62"/>
        <v>П</v>
      </c>
      <c r="CG152" s="24">
        <f t="shared" si="63"/>
        <v>5</v>
      </c>
      <c r="CH152" s="24"/>
      <c r="CI152" s="24"/>
      <c r="CJ152" s="24"/>
      <c r="CK152" s="24"/>
      <c r="CL152" s="24"/>
      <c r="CM152" s="24"/>
      <c r="CN152" s="24"/>
      <c r="CO152" s="24"/>
      <c r="CP152" s="24"/>
      <c r="CQ152" s="24"/>
      <c r="CR152" s="24"/>
      <c r="CS152" s="24"/>
      <c r="CT152" s="24"/>
      <c r="CU152" s="24"/>
      <c r="CV152" s="24"/>
      <c r="CW152" s="24"/>
      <c r="CX152" s="24"/>
      <c r="CY152" s="24"/>
      <c r="CZ152" s="24"/>
      <c r="DA152" s="24"/>
      <c r="DB152" s="24"/>
      <c r="DC152" s="24"/>
      <c r="DD152" s="24"/>
      <c r="DE152" s="24"/>
      <c r="DF152" s="24"/>
      <c r="DG152" s="24"/>
      <c r="DH152" s="24"/>
      <c r="DI152" s="24"/>
      <c r="DJ152" s="24"/>
      <c r="DK152" s="24"/>
      <c r="DL152" s="24"/>
      <c r="DM152" s="24"/>
      <c r="DN152" s="24"/>
      <c r="DO152" s="24"/>
      <c r="DP152" s="24"/>
      <c r="DQ152" s="24"/>
      <c r="DR152" s="24"/>
      <c r="DS152" s="24"/>
      <c r="DT152" s="24"/>
      <c r="DU152" s="24"/>
      <c r="DV152" s="24"/>
      <c r="DW152" s="24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</row>
    <row r="153" spans="1:16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98">
        <f>DATA!A10</f>
        <v>43359</v>
      </c>
      <c r="AN153" s="99" t="str">
        <f>DATA!C10</f>
        <v>Каманда 1</v>
      </c>
      <c r="AO153" s="99">
        <f>DATA!D10</f>
        <v>9</v>
      </c>
      <c r="AP153" s="99" t="str">
        <f>DATA!E10</f>
        <v>3:3</v>
      </c>
      <c r="AQ153" s="66"/>
      <c r="AR153" s="66" t="str">
        <f t="shared" si="48"/>
        <v>Каманда 1</v>
      </c>
      <c r="AS153" s="66">
        <f t="shared" si="49"/>
        <v>9</v>
      </c>
      <c r="AT153" s="40">
        <f t="shared" si="50"/>
        <v>3</v>
      </c>
      <c r="AU153" s="40">
        <f t="shared" si="51"/>
        <v>3</v>
      </c>
      <c r="AV153" s="24" t="str">
        <f t="shared" si="52"/>
        <v>Дома</v>
      </c>
      <c r="AW153" s="24" t="str">
        <f t="shared" si="53"/>
        <v>Н</v>
      </c>
      <c r="AX153" s="40">
        <f t="shared" si="54"/>
        <v>3</v>
      </c>
      <c r="AY153" s="40">
        <f t="shared" si="55"/>
        <v>3</v>
      </c>
      <c r="AZ153" s="40">
        <f t="shared" si="64"/>
        <v>9</v>
      </c>
      <c r="BA153" s="40">
        <f t="shared" si="65"/>
        <v>2</v>
      </c>
      <c r="BB153" s="40">
        <f t="shared" si="66"/>
        <v>5</v>
      </c>
      <c r="BC153" s="40">
        <f t="shared" si="67"/>
        <v>2</v>
      </c>
      <c r="BD153" s="40">
        <f t="shared" si="68"/>
        <v>23</v>
      </c>
      <c r="BE153" s="40">
        <f t="shared" si="69"/>
        <v>25</v>
      </c>
      <c r="BF153" s="40">
        <f t="shared" si="56"/>
        <v>11</v>
      </c>
      <c r="BG153" s="40">
        <f t="shared" si="70"/>
        <v>9</v>
      </c>
      <c r="BH153" s="40">
        <f t="shared" si="71"/>
        <v>2</v>
      </c>
      <c r="BI153" s="40">
        <f t="shared" si="72"/>
        <v>5</v>
      </c>
      <c r="BJ153" s="40">
        <f t="shared" si="73"/>
        <v>2</v>
      </c>
      <c r="BK153" s="40">
        <f t="shared" si="74"/>
        <v>23</v>
      </c>
      <c r="BL153" s="40">
        <f t="shared" si="75"/>
        <v>25</v>
      </c>
      <c r="BM153" s="40">
        <f t="shared" si="57"/>
        <v>11</v>
      </c>
      <c r="BN153" s="40">
        <f t="shared" si="76"/>
        <v>0</v>
      </c>
      <c r="BO153" s="40">
        <f t="shared" si="77"/>
        <v>0</v>
      </c>
      <c r="BP153" s="40">
        <f t="shared" si="78"/>
        <v>0</v>
      </c>
      <c r="BQ153" s="40">
        <f t="shared" si="79"/>
        <v>0</v>
      </c>
      <c r="BR153" s="40">
        <f t="shared" si="80"/>
        <v>0</v>
      </c>
      <c r="BS153" s="40">
        <f t="shared" si="81"/>
        <v>0</v>
      </c>
      <c r="BT153" s="40">
        <f t="shared" si="58"/>
        <v>0</v>
      </c>
      <c r="BU153" s="24">
        <f t="shared" si="82"/>
        <v>0</v>
      </c>
      <c r="BV153" s="24">
        <f t="shared" si="83"/>
        <v>2</v>
      </c>
      <c r="BW153" s="24">
        <f t="shared" si="84"/>
        <v>1</v>
      </c>
      <c r="BX153" s="24">
        <f t="shared" si="85"/>
        <v>6</v>
      </c>
      <c r="BY153" s="24">
        <f t="shared" si="86"/>
        <v>0</v>
      </c>
      <c r="BZ153" s="24">
        <f t="shared" si="87"/>
        <v>0</v>
      </c>
      <c r="CA153" s="24">
        <f t="shared" si="88"/>
        <v>0</v>
      </c>
      <c r="CB153" s="24">
        <f t="shared" si="89"/>
        <v>0</v>
      </c>
      <c r="CC153" s="43">
        <f t="shared" si="59"/>
        <v>2.5555555555555554</v>
      </c>
      <c r="CD153" s="43">
        <f t="shared" si="60"/>
        <v>2.7777777777777777</v>
      </c>
      <c r="CE153" s="100">
        <f t="shared" si="61"/>
        <v>-2.5925925925925894E-2</v>
      </c>
      <c r="CF153" s="66" t="str">
        <f t="shared" si="62"/>
        <v>Н</v>
      </c>
      <c r="CG153" s="24">
        <f t="shared" si="63"/>
        <v>6</v>
      </c>
      <c r="CH153" s="24"/>
      <c r="CI153" s="24"/>
      <c r="CJ153" s="24"/>
      <c r="CK153" s="24"/>
      <c r="CL153" s="24"/>
      <c r="CM153" s="24"/>
      <c r="CN153" s="24"/>
      <c r="CO153" s="24"/>
      <c r="CP153" s="24"/>
      <c r="CQ153" s="24"/>
      <c r="CR153" s="24"/>
      <c r="CS153" s="24"/>
      <c r="CT153" s="24"/>
      <c r="CU153" s="24"/>
      <c r="CV153" s="24"/>
      <c r="CW153" s="24"/>
      <c r="CX153" s="24"/>
      <c r="CY153" s="24"/>
      <c r="CZ153" s="24"/>
      <c r="DA153" s="24"/>
      <c r="DB153" s="24"/>
      <c r="DC153" s="24"/>
      <c r="DD153" s="24"/>
      <c r="DE153" s="24"/>
      <c r="DF153" s="24"/>
      <c r="DG153" s="24"/>
      <c r="DH153" s="24"/>
      <c r="DI153" s="24"/>
      <c r="DJ153" s="24"/>
      <c r="DK153" s="24"/>
      <c r="DL153" s="24"/>
      <c r="DM153" s="24"/>
      <c r="DN153" s="24"/>
      <c r="DO153" s="24"/>
      <c r="DP153" s="24"/>
      <c r="DQ153" s="24"/>
      <c r="DR153" s="24"/>
      <c r="DS153" s="24"/>
      <c r="DT153" s="24"/>
      <c r="DU153" s="24"/>
      <c r="DV153" s="24"/>
      <c r="DW153" s="24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</row>
    <row r="154" spans="1:16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98">
        <f>DATA!A11</f>
        <v>43358</v>
      </c>
      <c r="AN154" s="99" t="str">
        <f>DATA!C11</f>
        <v>Каманда 1</v>
      </c>
      <c r="AO154" s="99">
        <f>DATA!D11</f>
        <v>10</v>
      </c>
      <c r="AP154" s="99" t="str">
        <f>DATA!E11</f>
        <v>3:6</v>
      </c>
      <c r="AQ154" s="66"/>
      <c r="AR154" s="66" t="str">
        <f t="shared" si="48"/>
        <v>Каманда 1</v>
      </c>
      <c r="AS154" s="66">
        <f t="shared" si="49"/>
        <v>10</v>
      </c>
      <c r="AT154" s="40">
        <f t="shared" si="50"/>
        <v>3</v>
      </c>
      <c r="AU154" s="40">
        <f t="shared" si="51"/>
        <v>6</v>
      </c>
      <c r="AV154" s="24" t="str">
        <f t="shared" si="52"/>
        <v>Дома</v>
      </c>
      <c r="AW154" s="24" t="str">
        <f t="shared" si="53"/>
        <v>П</v>
      </c>
      <c r="AX154" s="40">
        <f t="shared" si="54"/>
        <v>3</v>
      </c>
      <c r="AY154" s="40">
        <f t="shared" si="55"/>
        <v>6</v>
      </c>
      <c r="AZ154" s="40">
        <f t="shared" si="64"/>
        <v>10</v>
      </c>
      <c r="BA154" s="40">
        <f t="shared" si="65"/>
        <v>2</v>
      </c>
      <c r="BB154" s="40">
        <f t="shared" si="66"/>
        <v>5</v>
      </c>
      <c r="BC154" s="40">
        <f t="shared" si="67"/>
        <v>3</v>
      </c>
      <c r="BD154" s="40">
        <f t="shared" si="68"/>
        <v>26</v>
      </c>
      <c r="BE154" s="40">
        <f t="shared" si="69"/>
        <v>31</v>
      </c>
      <c r="BF154" s="40">
        <f t="shared" si="56"/>
        <v>11</v>
      </c>
      <c r="BG154" s="40">
        <f t="shared" si="70"/>
        <v>10</v>
      </c>
      <c r="BH154" s="40">
        <f t="shared" si="71"/>
        <v>2</v>
      </c>
      <c r="BI154" s="40">
        <f t="shared" si="72"/>
        <v>5</v>
      </c>
      <c r="BJ154" s="40">
        <f t="shared" si="73"/>
        <v>3</v>
      </c>
      <c r="BK154" s="40">
        <f t="shared" si="74"/>
        <v>26</v>
      </c>
      <c r="BL154" s="40">
        <f t="shared" si="75"/>
        <v>31</v>
      </c>
      <c r="BM154" s="40">
        <f t="shared" si="57"/>
        <v>11</v>
      </c>
      <c r="BN154" s="40">
        <f t="shared" si="76"/>
        <v>0</v>
      </c>
      <c r="BO154" s="40">
        <f t="shared" si="77"/>
        <v>0</v>
      </c>
      <c r="BP154" s="40">
        <f t="shared" si="78"/>
        <v>0</v>
      </c>
      <c r="BQ154" s="40">
        <f t="shared" si="79"/>
        <v>0</v>
      </c>
      <c r="BR154" s="40">
        <f t="shared" si="80"/>
        <v>0</v>
      </c>
      <c r="BS154" s="40">
        <f t="shared" si="81"/>
        <v>0</v>
      </c>
      <c r="BT154" s="40">
        <f t="shared" si="58"/>
        <v>0</v>
      </c>
      <c r="BU154" s="24">
        <f t="shared" si="82"/>
        <v>0</v>
      </c>
      <c r="BV154" s="24">
        <f t="shared" si="83"/>
        <v>2</v>
      </c>
      <c r="BW154" s="24">
        <f t="shared" si="84"/>
        <v>1</v>
      </c>
      <c r="BX154" s="24">
        <f t="shared" si="85"/>
        <v>7</v>
      </c>
      <c r="BY154" s="24">
        <f t="shared" si="86"/>
        <v>0</v>
      </c>
      <c r="BZ154" s="24">
        <f t="shared" si="87"/>
        <v>0</v>
      </c>
      <c r="CA154" s="24">
        <f t="shared" si="88"/>
        <v>0</v>
      </c>
      <c r="CB154" s="24">
        <f t="shared" si="89"/>
        <v>0</v>
      </c>
      <c r="CC154" s="43">
        <f t="shared" si="59"/>
        <v>2.6</v>
      </c>
      <c r="CD154" s="43">
        <f t="shared" si="60"/>
        <v>3.1</v>
      </c>
      <c r="CE154" s="100">
        <f t="shared" si="61"/>
        <v>-6.3333333333333339E-2</v>
      </c>
      <c r="CF154" s="66" t="str">
        <f t="shared" si="62"/>
        <v>П</v>
      </c>
      <c r="CG154" s="24">
        <f t="shared" si="63"/>
        <v>9</v>
      </c>
      <c r="CH154" s="24"/>
      <c r="CI154" s="24"/>
      <c r="CJ154" s="24"/>
      <c r="CK154" s="24"/>
      <c r="CL154" s="24"/>
      <c r="CM154" s="24"/>
      <c r="CN154" s="24"/>
      <c r="CO154" s="24"/>
      <c r="CP154" s="24"/>
      <c r="CQ154" s="24"/>
      <c r="CR154" s="24"/>
      <c r="CS154" s="24"/>
      <c r="CT154" s="24"/>
      <c r="CU154" s="24"/>
      <c r="CV154" s="24"/>
      <c r="CW154" s="24"/>
      <c r="CX154" s="24"/>
      <c r="CY154" s="24"/>
      <c r="CZ154" s="24"/>
      <c r="DA154" s="24"/>
      <c r="DB154" s="24"/>
      <c r="DC154" s="24"/>
      <c r="DD154" s="24"/>
      <c r="DE154" s="24"/>
      <c r="DF154" s="24"/>
      <c r="DG154" s="24"/>
      <c r="DH154" s="24"/>
      <c r="DI154" s="24"/>
      <c r="DJ154" s="24"/>
      <c r="DK154" s="24"/>
      <c r="DL154" s="24"/>
      <c r="DM154" s="24"/>
      <c r="DN154" s="24"/>
      <c r="DO154" s="24"/>
      <c r="DP154" s="24"/>
      <c r="DQ154" s="24"/>
      <c r="DR154" s="24"/>
      <c r="DS154" s="24"/>
      <c r="DT154" s="24"/>
      <c r="DU154" s="24"/>
      <c r="DV154" s="24"/>
      <c r="DW154" s="24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</row>
    <row r="155" spans="1:16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98"/>
      <c r="AN155" s="99"/>
      <c r="AO155" s="99"/>
      <c r="AP155" s="99"/>
      <c r="AQ155" s="24"/>
      <c r="AR155" s="66"/>
      <c r="AS155" s="66"/>
      <c r="AT155" s="40"/>
      <c r="AU155" s="40"/>
      <c r="AV155" s="24"/>
      <c r="AW155" s="24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24"/>
      <c r="BV155" s="24"/>
      <c r="BW155" s="24"/>
      <c r="BX155" s="24"/>
      <c r="BY155" s="24"/>
      <c r="BZ155" s="24"/>
      <c r="CA155" s="24"/>
      <c r="CB155" s="24"/>
      <c r="CC155" s="43"/>
      <c r="CD155" s="43"/>
      <c r="CE155" s="100"/>
      <c r="CF155" s="66"/>
      <c r="CG155" s="24"/>
      <c r="CH155" s="24"/>
      <c r="CI155" s="24"/>
      <c r="CJ155" s="24"/>
      <c r="CK155" s="24"/>
      <c r="CL155" s="24"/>
      <c r="CM155" s="24"/>
      <c r="CN155" s="24"/>
      <c r="CO155" s="24"/>
      <c r="CP155" s="24"/>
      <c r="CQ155" s="24"/>
      <c r="CR155" s="24"/>
      <c r="CS155" s="24"/>
      <c r="CT155" s="24"/>
      <c r="CU155" s="24"/>
      <c r="CV155" s="24"/>
      <c r="CW155" s="24"/>
      <c r="CX155" s="24"/>
      <c r="CY155" s="24"/>
      <c r="CZ155" s="24"/>
      <c r="DA155" s="24"/>
      <c r="DB155" s="24"/>
      <c r="DC155" s="24"/>
      <c r="DD155" s="24"/>
      <c r="DE155" s="24"/>
      <c r="DF155" s="24"/>
      <c r="DG155" s="24"/>
      <c r="DH155" s="24"/>
      <c r="DI155" s="24"/>
      <c r="DJ155" s="24"/>
      <c r="DK155" s="24"/>
      <c r="DL155" s="24"/>
      <c r="DM155" s="24"/>
      <c r="DN155" s="24"/>
      <c r="DO155" s="24"/>
      <c r="DP155" s="24"/>
      <c r="DQ155" s="24"/>
      <c r="DR155" s="24"/>
      <c r="DS155" s="24"/>
      <c r="DT155" s="24"/>
      <c r="DU155" s="24"/>
      <c r="DV155" s="24"/>
      <c r="DW155" s="24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</row>
    <row r="156" spans="1:16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98"/>
      <c r="AN156" s="99"/>
      <c r="AO156" s="99"/>
      <c r="AP156" s="99"/>
      <c r="AQ156" s="24"/>
      <c r="AR156" s="66"/>
      <c r="AS156" s="66"/>
      <c r="AT156" s="40"/>
      <c r="AU156" s="40"/>
      <c r="AV156" s="24"/>
      <c r="AW156" s="24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24"/>
      <c r="BV156" s="24"/>
      <c r="BW156" s="24"/>
      <c r="BX156" s="24"/>
      <c r="BY156" s="24"/>
      <c r="BZ156" s="24"/>
      <c r="CA156" s="24"/>
      <c r="CB156" s="24"/>
      <c r="CC156" s="43"/>
      <c r="CD156" s="43"/>
      <c r="CE156" s="100"/>
      <c r="CF156" s="66"/>
      <c r="CG156" s="24"/>
      <c r="CH156" s="24"/>
      <c r="CI156" s="24"/>
      <c r="CJ156" s="24"/>
      <c r="CK156" s="24"/>
      <c r="CL156" s="24"/>
      <c r="CM156" s="24"/>
      <c r="CN156" s="24"/>
      <c r="CO156" s="24"/>
      <c r="CP156" s="24"/>
      <c r="CQ156" s="24"/>
      <c r="CR156" s="24"/>
      <c r="CS156" s="24"/>
      <c r="CT156" s="24"/>
      <c r="CU156" s="24"/>
      <c r="CV156" s="24"/>
      <c r="CW156" s="24"/>
      <c r="CX156" s="24"/>
      <c r="CY156" s="24"/>
      <c r="CZ156" s="24"/>
      <c r="DA156" s="24"/>
      <c r="DB156" s="24"/>
      <c r="DC156" s="24"/>
      <c r="DD156" s="24"/>
      <c r="DE156" s="24"/>
      <c r="DF156" s="24"/>
      <c r="DG156" s="24"/>
      <c r="DH156" s="24"/>
      <c r="DI156" s="24"/>
      <c r="DJ156" s="24"/>
      <c r="DK156" s="24"/>
      <c r="DL156" s="24"/>
      <c r="DM156" s="24"/>
      <c r="DN156" s="24"/>
      <c r="DO156" s="24"/>
      <c r="DP156" s="24"/>
      <c r="DQ156" s="24"/>
      <c r="DR156" s="24"/>
      <c r="DS156" s="24"/>
      <c r="DT156" s="24"/>
      <c r="DU156" s="24"/>
      <c r="DV156" s="24"/>
      <c r="DW156" s="24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</row>
    <row r="157" spans="1:16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98"/>
      <c r="AN157" s="99"/>
      <c r="AO157" s="99"/>
      <c r="AP157" s="99"/>
      <c r="AQ157" s="24"/>
      <c r="AR157" s="66"/>
      <c r="AS157" s="66"/>
      <c r="AT157" s="40"/>
      <c r="AU157" s="40"/>
      <c r="AV157" s="24"/>
      <c r="AW157" s="24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24"/>
      <c r="BV157" s="24"/>
      <c r="BW157" s="24"/>
      <c r="BX157" s="24"/>
      <c r="BY157" s="24"/>
      <c r="BZ157" s="24"/>
      <c r="CA157" s="24"/>
      <c r="CB157" s="24"/>
      <c r="CC157" s="43"/>
      <c r="CD157" s="43"/>
      <c r="CE157" s="100"/>
      <c r="CF157" s="66"/>
      <c r="CG157" s="24"/>
      <c r="CH157" s="24"/>
      <c r="CI157" s="24"/>
      <c r="CJ157" s="24"/>
      <c r="CK157" s="24"/>
      <c r="CL157" s="24"/>
      <c r="CM157" s="24"/>
      <c r="CN157" s="24"/>
      <c r="CO157" s="24"/>
      <c r="CP157" s="24"/>
      <c r="CQ157" s="24"/>
      <c r="CR157" s="24"/>
      <c r="CS157" s="24"/>
      <c r="CT157" s="24"/>
      <c r="CU157" s="24"/>
      <c r="CV157" s="24"/>
      <c r="CW157" s="24"/>
      <c r="CX157" s="24"/>
      <c r="CY157" s="24"/>
      <c r="CZ157" s="24"/>
      <c r="DA157" s="24"/>
      <c r="DB157" s="24"/>
      <c r="DC157" s="24"/>
      <c r="DD157" s="24"/>
      <c r="DE157" s="24"/>
      <c r="DF157" s="24"/>
      <c r="DG157" s="24"/>
      <c r="DH157" s="24"/>
      <c r="DI157" s="24"/>
      <c r="DJ157" s="24"/>
      <c r="DK157" s="24"/>
      <c r="DL157" s="24"/>
      <c r="DM157" s="24"/>
      <c r="DN157" s="24"/>
      <c r="DO157" s="24"/>
      <c r="DP157" s="24"/>
      <c r="DQ157" s="24"/>
      <c r="DR157" s="24"/>
      <c r="DS157" s="24"/>
      <c r="DT157" s="24"/>
      <c r="DU157" s="24"/>
      <c r="DV157" s="24"/>
      <c r="DW157" s="24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</row>
    <row r="158" spans="1:166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98"/>
      <c r="AN158" s="99"/>
      <c r="AO158" s="99"/>
      <c r="AP158" s="99"/>
      <c r="AQ158" s="24"/>
      <c r="AR158" s="66"/>
      <c r="AS158" s="66"/>
      <c r="AT158" s="40"/>
      <c r="AU158" s="40"/>
      <c r="AV158" s="24"/>
      <c r="AW158" s="24"/>
      <c r="AX158" s="40"/>
      <c r="AY158" s="40"/>
      <c r="AZ158" s="40"/>
      <c r="BA158" s="40"/>
      <c r="BB158" s="40"/>
      <c r="BC158" s="24"/>
      <c r="BD158" s="24" t="s">
        <v>146</v>
      </c>
      <c r="BE158" s="24" t="s">
        <v>147</v>
      </c>
      <c r="BF158" s="24"/>
      <c r="BG158" s="24"/>
      <c r="BH158" s="24"/>
      <c r="BI158" s="24"/>
      <c r="BJ158" s="24"/>
      <c r="BK158" s="24"/>
      <c r="BL158" s="24"/>
      <c r="BM158" s="40"/>
      <c r="BN158" s="40"/>
      <c r="BO158" s="40"/>
      <c r="BP158" s="40"/>
      <c r="BQ158" s="40"/>
      <c r="BR158" s="40"/>
      <c r="BS158" s="40"/>
      <c r="BT158" s="40"/>
      <c r="BU158" s="24"/>
      <c r="BV158" s="24"/>
      <c r="BW158" s="24"/>
      <c r="BX158" s="24"/>
      <c r="BY158" s="24"/>
      <c r="BZ158" s="24"/>
      <c r="CA158" s="24"/>
      <c r="CB158" s="24"/>
      <c r="CC158" s="43"/>
      <c r="CD158" s="43"/>
      <c r="CE158" s="100"/>
      <c r="CF158" s="66"/>
      <c r="CG158" s="24"/>
      <c r="CH158" s="24"/>
      <c r="CI158" s="24"/>
      <c r="CJ158" s="24"/>
      <c r="CK158" s="24"/>
      <c r="CL158" s="24"/>
      <c r="CM158" s="24"/>
      <c r="CN158" s="24"/>
      <c r="CO158" s="24"/>
      <c r="CP158" s="24"/>
      <c r="CQ158" s="24"/>
      <c r="CR158" s="24"/>
      <c r="CS158" s="24"/>
      <c r="CT158" s="24"/>
      <c r="CU158" s="24"/>
      <c r="CV158" s="24"/>
      <c r="CW158" s="24"/>
      <c r="CX158" s="24"/>
      <c r="CY158" s="24"/>
      <c r="CZ158" s="24"/>
      <c r="DA158" s="24"/>
      <c r="DB158" s="24"/>
      <c r="DC158" s="24"/>
      <c r="DD158" s="24"/>
      <c r="DE158" s="24"/>
      <c r="DF158" s="24"/>
      <c r="DG158" s="24"/>
      <c r="DH158" s="24"/>
      <c r="DI158" s="24"/>
      <c r="DJ158" s="24"/>
      <c r="DK158" s="24"/>
      <c r="DL158" s="24"/>
      <c r="DM158" s="24"/>
      <c r="DN158" s="24"/>
      <c r="DO158" s="24"/>
      <c r="DP158" s="24"/>
      <c r="DQ158" s="24"/>
      <c r="DR158" s="24"/>
      <c r="DS158" s="24"/>
      <c r="DT158" s="24"/>
      <c r="DU158" s="24"/>
      <c r="DV158" s="24"/>
      <c r="DW158" s="24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</row>
    <row r="159" spans="1:166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98"/>
      <c r="AN159" s="99"/>
      <c r="AO159" s="99"/>
      <c r="AP159" s="99"/>
      <c r="AQ159" s="24"/>
      <c r="AR159" s="66"/>
      <c r="AS159" s="66"/>
      <c r="AT159" s="40"/>
      <c r="AU159" s="40"/>
      <c r="AV159" s="24"/>
      <c r="AW159" s="24"/>
      <c r="AX159" s="40"/>
      <c r="AY159" s="40"/>
      <c r="AZ159" s="40"/>
      <c r="BA159" s="40"/>
      <c r="BB159" s="40"/>
      <c r="BC159" s="24" t="s">
        <v>148</v>
      </c>
      <c r="BD159" s="40">
        <f>BK154</f>
        <v>26</v>
      </c>
      <c r="BE159" s="40">
        <f>BL154</f>
        <v>31</v>
      </c>
      <c r="BF159" s="24"/>
      <c r="BG159" s="40">
        <f>BD159+BE160</f>
        <v>59</v>
      </c>
      <c r="BH159" s="24">
        <f>BG159*BG159</f>
        <v>3481</v>
      </c>
      <c r="BI159" s="101">
        <f>BH159/(BH159+BH160)</f>
        <v>0.59180550833049983</v>
      </c>
      <c r="BJ159" s="24">
        <f>100/BK159</f>
        <v>1.6897443263430048</v>
      </c>
      <c r="BK159" s="43">
        <f>BI159*100</f>
        <v>59.180550833049985</v>
      </c>
      <c r="BL159" s="24">
        <f>100/BK159</f>
        <v>1.6897443263430048</v>
      </c>
      <c r="BM159" s="40"/>
      <c r="BN159" s="40"/>
      <c r="BO159" s="40"/>
      <c r="BP159" s="40"/>
      <c r="BQ159" s="40"/>
      <c r="BR159" s="40"/>
      <c r="BS159" s="40"/>
      <c r="BT159" s="40"/>
      <c r="BU159" s="24"/>
      <c r="BV159" s="24"/>
      <c r="BW159" s="24"/>
      <c r="BX159" s="24"/>
      <c r="BY159" s="24"/>
      <c r="BZ159" s="24"/>
      <c r="CA159" s="24"/>
      <c r="CB159" s="24"/>
      <c r="CC159" s="43"/>
      <c r="CD159" s="43"/>
      <c r="CE159" s="100"/>
      <c r="CF159" s="66"/>
      <c r="CG159" s="24"/>
      <c r="CH159" s="24"/>
      <c r="CI159" s="24"/>
      <c r="CJ159" s="24"/>
      <c r="CK159" s="24"/>
      <c r="CL159" s="24"/>
      <c r="CM159" s="24"/>
      <c r="CN159" s="24"/>
      <c r="CO159" s="24"/>
      <c r="CP159" s="24"/>
      <c r="CQ159" s="24"/>
      <c r="CR159" s="24"/>
      <c r="CS159" s="24"/>
      <c r="CT159" s="24"/>
      <c r="CU159" s="24"/>
      <c r="CV159" s="24"/>
      <c r="CW159" s="24"/>
      <c r="CX159" s="24"/>
      <c r="CY159" s="24"/>
      <c r="CZ159" s="24"/>
      <c r="DA159" s="24"/>
      <c r="DB159" s="24"/>
      <c r="DC159" s="24"/>
      <c r="DD159" s="24"/>
      <c r="DE159" s="24"/>
      <c r="DF159" s="24"/>
      <c r="DG159" s="24"/>
      <c r="DH159" s="24"/>
      <c r="DI159" s="24"/>
      <c r="DJ159" s="24"/>
      <c r="DK159" s="24"/>
      <c r="DL159" s="24"/>
      <c r="DM159" s="24"/>
      <c r="DN159" s="24"/>
      <c r="DO159" s="24"/>
      <c r="DP159" s="24"/>
      <c r="DQ159" s="24"/>
      <c r="DR159" s="24"/>
      <c r="DS159" s="24"/>
      <c r="DT159" s="24"/>
      <c r="DU159" s="24"/>
      <c r="DV159" s="24"/>
      <c r="DW159" s="24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</row>
    <row r="160" spans="1:166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 t="s">
        <v>149</v>
      </c>
      <c r="BD160" s="40">
        <f>BR175</f>
        <v>18</v>
      </c>
      <c r="BE160" s="40">
        <f>BS175</f>
        <v>33</v>
      </c>
      <c r="BF160" s="24"/>
      <c r="BG160" s="40">
        <f>BD160+BE159</f>
        <v>49</v>
      </c>
      <c r="BH160" s="24">
        <f>BG160*BG160</f>
        <v>2401</v>
      </c>
      <c r="BI160" s="101">
        <f>BH160/(BH160+BH159)</f>
        <v>0.40819449166950017</v>
      </c>
      <c r="BJ160" s="24">
        <f>100/BK160</f>
        <v>2.4498125780924616</v>
      </c>
      <c r="BK160" s="43">
        <f>BI160*100</f>
        <v>40.819449166950015</v>
      </c>
      <c r="BL160" s="24">
        <f>100/BK160</f>
        <v>2.4498125780924616</v>
      </c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  <c r="CO160" s="24"/>
      <c r="CP160" s="24"/>
      <c r="CQ160" s="24"/>
      <c r="CR160" s="24"/>
      <c r="CS160" s="24"/>
      <c r="CT160" s="24"/>
      <c r="CU160" s="24"/>
      <c r="CV160" s="24"/>
      <c r="CW160" s="24"/>
      <c r="CX160" s="24"/>
      <c r="CY160" s="24"/>
      <c r="CZ160" s="24"/>
      <c r="DA160" s="24"/>
      <c r="DB160" s="24"/>
      <c r="DC160" s="24"/>
      <c r="DD160" s="24"/>
      <c r="DE160" s="24"/>
      <c r="DF160" s="24"/>
      <c r="DG160" s="24"/>
      <c r="DH160" s="24"/>
      <c r="DI160" s="24"/>
      <c r="DJ160" s="24"/>
      <c r="DK160" s="24"/>
      <c r="DL160" s="24"/>
      <c r="DM160" s="24"/>
      <c r="DN160" s="24"/>
      <c r="DO160" s="24"/>
      <c r="DP160" s="24"/>
      <c r="DQ160" s="24"/>
      <c r="DR160" s="24"/>
      <c r="DS160" s="24"/>
      <c r="DT160" s="24"/>
      <c r="DU160" s="24"/>
      <c r="DV160" s="24"/>
      <c r="DW160" s="24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</row>
    <row r="161" spans="1:166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  <c r="CO161" s="24"/>
      <c r="CP161" s="24"/>
      <c r="CQ161" s="24"/>
      <c r="CR161" s="24"/>
      <c r="CS161" s="24"/>
      <c r="CT161" s="24"/>
      <c r="CU161" s="24"/>
      <c r="CV161" s="24"/>
      <c r="CW161" s="24"/>
      <c r="CX161" s="24"/>
      <c r="CY161" s="24"/>
      <c r="CZ161" s="24"/>
      <c r="DA161" s="24"/>
      <c r="DB161" s="24"/>
      <c r="DC161" s="24"/>
      <c r="DD161" s="24"/>
      <c r="DE161" s="24"/>
      <c r="DF161" s="24"/>
      <c r="DG161" s="24"/>
      <c r="DH161" s="24"/>
      <c r="DI161" s="24"/>
      <c r="DJ161" s="24"/>
      <c r="DK161" s="24"/>
      <c r="DL161" s="24"/>
      <c r="DM161" s="24"/>
      <c r="DN161" s="24"/>
      <c r="DO161" s="24"/>
      <c r="DP161" s="24"/>
      <c r="DQ161" s="24"/>
      <c r="DR161" s="24"/>
      <c r="DS161" s="24"/>
      <c r="DT161" s="24"/>
      <c r="DU161" s="24"/>
      <c r="DV161" s="24"/>
      <c r="DW161" s="24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</row>
    <row r="162" spans="1:166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  <c r="CO162" s="24"/>
      <c r="CP162" s="24"/>
      <c r="CQ162" s="24"/>
      <c r="CR162" s="24"/>
      <c r="CS162" s="24"/>
      <c r="CT162" s="24"/>
      <c r="CU162" s="24"/>
      <c r="CV162" s="24"/>
      <c r="CW162" s="24"/>
      <c r="CX162" s="24"/>
      <c r="CY162" s="24"/>
      <c r="CZ162" s="24"/>
      <c r="DA162" s="24"/>
      <c r="DB162" s="24"/>
      <c r="DC162" s="24"/>
      <c r="DD162" s="24"/>
      <c r="DE162" s="24"/>
      <c r="DF162" s="24"/>
      <c r="DG162" s="24"/>
      <c r="DH162" s="24"/>
      <c r="DI162" s="24"/>
      <c r="DJ162" s="24"/>
      <c r="DK162" s="24"/>
      <c r="DL162" s="24"/>
      <c r="DM162" s="24"/>
      <c r="DN162" s="24"/>
      <c r="DO162" s="24"/>
      <c r="DP162" s="24"/>
      <c r="DQ162" s="24"/>
      <c r="DR162" s="24"/>
      <c r="DS162" s="24"/>
      <c r="DT162" s="24"/>
      <c r="DU162" s="24"/>
      <c r="DV162" s="24"/>
      <c r="DW162" s="24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</row>
    <row r="163" spans="1:166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</row>
    <row r="164" spans="1:166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95"/>
      <c r="AS164" s="95"/>
      <c r="AT164" s="95"/>
      <c r="AU164" s="95"/>
      <c r="AV164" s="95"/>
      <c r="AW164" s="95"/>
      <c r="AX164" s="95"/>
      <c r="AY164" s="95"/>
      <c r="AZ164" s="255" t="s">
        <v>131</v>
      </c>
      <c r="BA164" s="255"/>
      <c r="BB164" s="255"/>
      <c r="BC164" s="255"/>
      <c r="BD164" s="255"/>
      <c r="BE164" s="255"/>
      <c r="BF164" s="255"/>
      <c r="BG164" s="255" t="s">
        <v>132</v>
      </c>
      <c r="BH164" s="255"/>
      <c r="BI164" s="255"/>
      <c r="BJ164" s="255"/>
      <c r="BK164" s="255"/>
      <c r="BL164" s="255"/>
      <c r="BM164" s="255"/>
      <c r="BN164" s="255" t="s">
        <v>133</v>
      </c>
      <c r="BO164" s="255"/>
      <c r="BP164" s="255"/>
      <c r="BQ164" s="255"/>
      <c r="BR164" s="255"/>
      <c r="BS164" s="255"/>
      <c r="BT164" s="255"/>
      <c r="BU164" s="254" t="s">
        <v>134</v>
      </c>
      <c r="BV164" s="254"/>
      <c r="BW164" s="254"/>
      <c r="BX164" s="254"/>
      <c r="BY164" s="254" t="s">
        <v>135</v>
      </c>
      <c r="BZ164" s="254"/>
      <c r="CA164" s="254"/>
      <c r="CB164" s="254"/>
      <c r="CC164" s="24"/>
      <c r="CD164" s="24"/>
      <c r="CE164" s="24"/>
      <c r="CF164" s="29"/>
      <c r="CG164" s="29"/>
      <c r="CH164" s="24"/>
      <c r="CI164" s="24"/>
      <c r="CJ164" s="24"/>
      <c r="CK164" s="24"/>
      <c r="CL164" s="24"/>
      <c r="CM164" s="24"/>
      <c r="CN164" s="24"/>
      <c r="CO164" s="24"/>
      <c r="CP164" s="24"/>
      <c r="CQ164" s="24"/>
      <c r="CR164" s="24"/>
      <c r="CS164" s="24"/>
      <c r="CT164" s="24"/>
      <c r="CU164" s="24"/>
      <c r="CV164" s="24"/>
      <c r="CW164" s="24"/>
      <c r="CX164" s="24"/>
      <c r="CY164" s="24"/>
      <c r="CZ164" s="24"/>
      <c r="DA164" s="24"/>
      <c r="DB164" s="24"/>
      <c r="DC164" s="24"/>
      <c r="DD164" s="24"/>
      <c r="DE164" s="24"/>
      <c r="DF164" s="24"/>
      <c r="DG164" s="24"/>
      <c r="DH164" s="24"/>
      <c r="DI164" s="24"/>
      <c r="DJ164" s="24"/>
      <c r="DK164" s="24"/>
      <c r="DL164" s="24"/>
      <c r="DM164" s="24"/>
      <c r="DN164" s="24"/>
      <c r="DO164" s="24"/>
      <c r="DP164" s="24"/>
      <c r="DQ164" s="24"/>
      <c r="DR164" s="24"/>
      <c r="DS164" s="24"/>
      <c r="DT164" s="24"/>
      <c r="DU164" s="24"/>
      <c r="DV164" s="24"/>
      <c r="DW164" s="24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</row>
    <row r="165" spans="1:166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56" t="s">
        <v>136</v>
      </c>
      <c r="AN165" s="256"/>
      <c r="AO165" s="257" t="str">
        <f>IF(AR166=AR169,AR166,IF(AR166=AS169,AR166,AS166))</f>
        <v>Команда 2</v>
      </c>
      <c r="AP165" s="257"/>
      <c r="AQ165" s="24"/>
      <c r="AR165" s="102" t="s">
        <v>4</v>
      </c>
      <c r="AS165" s="96" t="s">
        <v>5</v>
      </c>
      <c r="AT165" s="96" t="s">
        <v>6</v>
      </c>
      <c r="AU165" s="96" t="s">
        <v>7</v>
      </c>
      <c r="AV165" s="96" t="s">
        <v>8</v>
      </c>
      <c r="AW165" s="96" t="s">
        <v>9</v>
      </c>
      <c r="AX165" s="96" t="s">
        <v>10</v>
      </c>
      <c r="AY165" s="96" t="s">
        <v>137</v>
      </c>
      <c r="AZ165" s="96" t="s">
        <v>138</v>
      </c>
      <c r="BA165" s="96" t="s">
        <v>12</v>
      </c>
      <c r="BB165" s="96" t="s">
        <v>111</v>
      </c>
      <c r="BC165" s="96" t="s">
        <v>13</v>
      </c>
      <c r="BD165" s="96" t="s">
        <v>10</v>
      </c>
      <c r="BE165" s="96" t="s">
        <v>137</v>
      </c>
      <c r="BF165" s="96" t="s">
        <v>139</v>
      </c>
      <c r="BG165" s="96" t="s">
        <v>138</v>
      </c>
      <c r="BH165" s="96" t="s">
        <v>12</v>
      </c>
      <c r="BI165" s="96" t="s">
        <v>111</v>
      </c>
      <c r="BJ165" s="96" t="s">
        <v>13</v>
      </c>
      <c r="BK165" s="96" t="s">
        <v>10</v>
      </c>
      <c r="BL165" s="96" t="s">
        <v>137</v>
      </c>
      <c r="BM165" s="96" t="s">
        <v>139</v>
      </c>
      <c r="BN165" s="96" t="s">
        <v>138</v>
      </c>
      <c r="BO165" s="96" t="s">
        <v>12</v>
      </c>
      <c r="BP165" s="96" t="s">
        <v>111</v>
      </c>
      <c r="BQ165" s="96" t="s">
        <v>13</v>
      </c>
      <c r="BR165" s="96" t="s">
        <v>10</v>
      </c>
      <c r="BS165" s="96" t="s">
        <v>137</v>
      </c>
      <c r="BT165" s="96" t="s">
        <v>139</v>
      </c>
      <c r="BU165" s="24">
        <v>0</v>
      </c>
      <c r="BV165" s="24">
        <v>1</v>
      </c>
      <c r="BW165" s="24">
        <v>2</v>
      </c>
      <c r="BX165" s="24" t="s">
        <v>140</v>
      </c>
      <c r="BY165" s="24">
        <v>0</v>
      </c>
      <c r="BZ165" s="24">
        <v>1</v>
      </c>
      <c r="CA165" s="24">
        <v>2</v>
      </c>
      <c r="CB165" s="24" t="s">
        <v>140</v>
      </c>
      <c r="CC165" s="24" t="s">
        <v>141</v>
      </c>
      <c r="CD165" s="24" t="s">
        <v>142</v>
      </c>
      <c r="CE165" s="24" t="s">
        <v>143</v>
      </c>
      <c r="CF165" s="103" t="s">
        <v>144</v>
      </c>
      <c r="CG165" s="29" t="s">
        <v>150</v>
      </c>
      <c r="CH165" s="24"/>
      <c r="CI165" s="24"/>
      <c r="CJ165" s="24"/>
      <c r="CK165" s="24"/>
      <c r="CL165" s="24"/>
      <c r="CM165" s="24"/>
      <c r="CN165" s="24"/>
      <c r="CO165" s="24"/>
      <c r="CP165" s="24"/>
      <c r="CQ165" s="24"/>
      <c r="CR165" s="24"/>
      <c r="CS165" s="24"/>
      <c r="CT165" s="24"/>
      <c r="CU165" s="24"/>
      <c r="CV165" s="24"/>
      <c r="CW165" s="24"/>
      <c r="CX165" s="24"/>
      <c r="CY165" s="24"/>
      <c r="CZ165" s="24"/>
      <c r="DA165" s="24"/>
      <c r="DB165" s="24"/>
      <c r="DC165" s="24"/>
      <c r="DD165" s="24"/>
      <c r="DE165" s="24"/>
      <c r="DF165" s="24"/>
      <c r="DG165" s="24"/>
      <c r="DH165" s="24"/>
      <c r="DI165" s="24"/>
      <c r="DJ165" s="24"/>
      <c r="DK165" s="24"/>
      <c r="DL165" s="24"/>
      <c r="DM165" s="24"/>
      <c r="DN165" s="24"/>
      <c r="DO165" s="24"/>
      <c r="DP165" s="24"/>
      <c r="DQ165" s="24"/>
      <c r="DR165" s="24"/>
      <c r="DS165" s="24"/>
      <c r="DT165" s="24"/>
      <c r="DU165" s="24"/>
      <c r="DV165" s="24"/>
      <c r="DW165" s="24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</row>
    <row r="166" spans="1:166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98">
        <f>DATA!A14</f>
        <v>43391</v>
      </c>
      <c r="AN166" s="104">
        <f>DATA!C14</f>
        <v>1</v>
      </c>
      <c r="AO166" s="104" t="str">
        <f>DATA!D14</f>
        <v>Команда 2</v>
      </c>
      <c r="AP166" s="104" t="str">
        <f>DATA!E14</f>
        <v>5:5</v>
      </c>
      <c r="AQ166" s="24"/>
      <c r="AR166" s="105">
        <f t="shared" ref="AR166:AR175" si="90">AN166</f>
        <v>1</v>
      </c>
      <c r="AS166" s="28" t="str">
        <f t="shared" ref="AS166:AS175" si="91">AO166</f>
        <v>Команда 2</v>
      </c>
      <c r="AT166" s="40">
        <f t="shared" ref="AT166:AT175" si="92">VALUE(LEFT(AP166,FIND(":",AP166,1)-1))</f>
        <v>5</v>
      </c>
      <c r="AU166" s="40">
        <f t="shared" ref="AU166:AU175" si="93">VALUE(LEFT(RIGHT(AP166,LEN(AP166)-FIND(":",AP166,1)),100))</f>
        <v>5</v>
      </c>
      <c r="AV166" s="24" t="str">
        <f t="shared" ref="AV166:AV175" si="94">IF(AR166=$AO$165,"Дома","В гостях")</f>
        <v>В гостях</v>
      </c>
      <c r="AW166" s="24" t="str">
        <f t="shared" ref="AW166:AW175" si="95">IF(AV166="Дома",IF(AT166&gt;AU166,"В",IF(AT166=AU166,"Н","П")),IF(AT166&lt;AU166,"В",IF(AT166=AU166,"Н","П")))</f>
        <v>Н</v>
      </c>
      <c r="AX166" s="40">
        <f t="shared" ref="AX166:AX175" si="96">IF(AV166="Дома",AT166,AU166)</f>
        <v>5</v>
      </c>
      <c r="AY166" s="40">
        <f t="shared" ref="AY166:AY175" si="97">IF(AV166="Дома",AU166,AT166)</f>
        <v>5</v>
      </c>
      <c r="AZ166" s="40">
        <v>1</v>
      </c>
      <c r="BA166" s="40">
        <f>IF(AW166="В",1,0)</f>
        <v>0</v>
      </c>
      <c r="BB166" s="40">
        <f>IF(AW166="Н",1,0)</f>
        <v>1</v>
      </c>
      <c r="BC166" s="40">
        <f>IF(AW166="П",1,0)</f>
        <v>0</v>
      </c>
      <c r="BD166" s="40">
        <f>AX166</f>
        <v>5</v>
      </c>
      <c r="BE166" s="40">
        <f>AY166</f>
        <v>5</v>
      </c>
      <c r="BF166" s="40">
        <f t="shared" ref="BF166:BF175" si="98">BA166*3+BB166</f>
        <v>1</v>
      </c>
      <c r="BG166" s="40">
        <f>IF(AV166="Дома",1,0)</f>
        <v>0</v>
      </c>
      <c r="BH166" s="40">
        <f>IF(AV166="Дома",IF(AW166="В",1,0),0)</f>
        <v>0</v>
      </c>
      <c r="BI166" s="40">
        <f>IF(AV166="Дома",IF(AW166="Н",1,0),0)</f>
        <v>0</v>
      </c>
      <c r="BJ166" s="40">
        <f>IF(AV166="Дома",IF(AW166="П",1,0),0)</f>
        <v>0</v>
      </c>
      <c r="BK166" s="40">
        <f>IF(AV166="Дома",AX166,0)</f>
        <v>0</v>
      </c>
      <c r="BL166" s="40">
        <f>IF(AV166="Дома",AY166,0)</f>
        <v>0</v>
      </c>
      <c r="BM166" s="40">
        <f t="shared" ref="BM166:BM175" si="99">BH166*3+BI166</f>
        <v>0</v>
      </c>
      <c r="BN166" s="40">
        <f>IF(AV166&lt;&gt;"Дома",1,0)</f>
        <v>1</v>
      </c>
      <c r="BO166" s="40">
        <f>IF(AV166&lt;&gt;"Дома",IF(AW166="В",1,0),0)</f>
        <v>0</v>
      </c>
      <c r="BP166" s="40">
        <f>IF(AV166&lt;&gt;"Дома",IF(AW166="Н",1,0),0)</f>
        <v>1</v>
      </c>
      <c r="BQ166" s="40">
        <f>IF(AV166&lt;&gt;"Дома",IF(AW166="П",1,0),0)</f>
        <v>0</v>
      </c>
      <c r="BR166" s="40">
        <f>IF(AV166&lt;&gt;"Дома",AX166,0)</f>
        <v>5</v>
      </c>
      <c r="BS166" s="40">
        <f>IF(AV166&lt;&gt;"Дома",AY166,0)</f>
        <v>5</v>
      </c>
      <c r="BT166" s="40">
        <f t="shared" ref="BT166:BT175" si="100">BO166*3+BP166</f>
        <v>1</v>
      </c>
      <c r="BU166" s="24">
        <f>IF(AV166="Дома",IF(AX166=0,1,0),0)</f>
        <v>0</v>
      </c>
      <c r="BV166" s="24">
        <f>IF(AV166="Дома",IF(AX166=1,1,0),0)</f>
        <v>0</v>
      </c>
      <c r="BW166" s="24">
        <f>IF(AV166="Дома",IF(AX166=2,1,0),0)</f>
        <v>0</v>
      </c>
      <c r="BX166" s="24">
        <f>IF(AV166="Дома",IF(AX166&gt;=3,1,0),0)</f>
        <v>0</v>
      </c>
      <c r="BY166" s="24">
        <f>IF(AV166&lt;&gt;"Дома",IF(AX166=0,1,0),0)</f>
        <v>0</v>
      </c>
      <c r="BZ166" s="24">
        <f>IF(AV166&lt;&gt;"Дома",IF(AX166=1,1,0),0)</f>
        <v>0</v>
      </c>
      <c r="CA166" s="24">
        <f>IF(AV166&lt;&gt;"Дома",IF(AX166=2,1,0),0)</f>
        <v>0</v>
      </c>
      <c r="CB166" s="24">
        <f>IF(AV166&lt;&gt;"Дома",IF(AX166&gt;=3,1,0),0)</f>
        <v>1</v>
      </c>
      <c r="CC166" s="43">
        <f t="shared" ref="CC166:CC175" si="101">BD166/AZ166</f>
        <v>5</v>
      </c>
      <c r="CD166" s="43">
        <f t="shared" ref="CD166:CD175" si="102">BE166/AZ166</f>
        <v>5</v>
      </c>
      <c r="CE166" s="100">
        <f t="shared" ref="CE166:CE175" si="103">(BM166/IF(BG166&lt;1,1,BG166)+BT166/IF(BN166&lt;1,1,BN166)*1.5+BK166/IF(BG166&lt;1,1,BG166)+BR166/IF(BN166&lt;1,1,BN166)*1.5-BL166/IF(BG166&lt;1,1,BG166)*1.5-BS166/IF(BN166&lt;1,1,BN166))/15</f>
        <v>0.26666666666666666</v>
      </c>
      <c r="CF166" s="106" t="str">
        <f t="shared" ref="CF166:CF175" si="104">IF(AV166="В гостях",IF(AW166="В","В",IF(AW166="Н","Н","П")),"")</f>
        <v>Н</v>
      </c>
      <c r="CG166" s="29">
        <f t="shared" ref="CG166:CG175" si="105">IF(AV166&lt;&gt;"Дома",AX166+AY166,"")</f>
        <v>10</v>
      </c>
      <c r="CH166" s="24"/>
      <c r="CI166" s="24"/>
      <c r="CJ166" s="24"/>
      <c r="CK166" s="24"/>
      <c r="CL166" s="24"/>
      <c r="CM166" s="24"/>
      <c r="CN166" s="24"/>
      <c r="CO166" s="24"/>
      <c r="CP166" s="24"/>
      <c r="CQ166" s="24"/>
      <c r="CR166" s="24"/>
      <c r="CS166" s="24"/>
      <c r="CT166" s="24"/>
      <c r="CU166" s="24"/>
      <c r="CV166" s="24"/>
      <c r="CW166" s="24"/>
      <c r="CX166" s="24"/>
      <c r="CY166" s="24"/>
      <c r="CZ166" s="24"/>
      <c r="DA166" s="24"/>
      <c r="DB166" s="24"/>
      <c r="DC166" s="24"/>
      <c r="DD166" s="24"/>
      <c r="DE166" s="24"/>
      <c r="DF166" s="24"/>
      <c r="DG166" s="24"/>
      <c r="DH166" s="24"/>
      <c r="DI166" s="24"/>
      <c r="DJ166" s="24"/>
      <c r="DK166" s="24"/>
      <c r="DL166" s="24"/>
      <c r="DM166" s="24"/>
      <c r="DN166" s="24"/>
      <c r="DO166" s="24"/>
      <c r="DP166" s="24"/>
      <c r="DQ166" s="24"/>
      <c r="DR166" s="24"/>
      <c r="DS166" s="24"/>
      <c r="DT166" s="24"/>
      <c r="DU166" s="24"/>
      <c r="DV166" s="24"/>
      <c r="DW166" s="24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</row>
    <row r="167" spans="1:166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98">
        <f>DATA!A15</f>
        <v>43386</v>
      </c>
      <c r="AN167" s="104">
        <f>DATA!C15</f>
        <v>2</v>
      </c>
      <c r="AO167" s="104" t="str">
        <f>DATA!D15</f>
        <v>Команда 2</v>
      </c>
      <c r="AP167" s="104" t="str">
        <f>DATA!E15</f>
        <v>2:2</v>
      </c>
      <c r="AQ167" s="24"/>
      <c r="AR167" s="105">
        <f t="shared" si="90"/>
        <v>2</v>
      </c>
      <c r="AS167" s="28" t="str">
        <f t="shared" si="91"/>
        <v>Команда 2</v>
      </c>
      <c r="AT167" s="40">
        <f t="shared" si="92"/>
        <v>2</v>
      </c>
      <c r="AU167" s="40">
        <f t="shared" si="93"/>
        <v>2</v>
      </c>
      <c r="AV167" s="24" t="str">
        <f t="shared" si="94"/>
        <v>В гостях</v>
      </c>
      <c r="AW167" s="24" t="str">
        <f t="shared" si="95"/>
        <v>Н</v>
      </c>
      <c r="AX167" s="40">
        <f t="shared" si="96"/>
        <v>2</v>
      </c>
      <c r="AY167" s="40">
        <f t="shared" si="97"/>
        <v>2</v>
      </c>
      <c r="AZ167" s="40">
        <f t="shared" ref="AZ167:AZ175" si="106">AZ166+1</f>
        <v>2</v>
      </c>
      <c r="BA167" s="40">
        <f t="shared" ref="BA167:BA175" si="107">IF(AW167="В",BA166+1,BA166+0)</f>
        <v>0</v>
      </c>
      <c r="BB167" s="40">
        <f t="shared" ref="BB167:BB175" si="108">IF(AW167="Н",BB166+1,BB166+0)</f>
        <v>2</v>
      </c>
      <c r="BC167" s="40">
        <f t="shared" ref="BC167:BC175" si="109">IF(AW167="П",BC166+1,BC166+0)</f>
        <v>0</v>
      </c>
      <c r="BD167" s="40">
        <f t="shared" ref="BD167:BD175" si="110">AX167+BD166</f>
        <v>7</v>
      </c>
      <c r="BE167" s="40">
        <f t="shared" ref="BE167:BE175" si="111">AY167+BE166</f>
        <v>7</v>
      </c>
      <c r="BF167" s="40">
        <f t="shared" si="98"/>
        <v>2</v>
      </c>
      <c r="BG167" s="40">
        <f t="shared" ref="BG167:BG175" si="112">IF(AV167="Дома",BG166+1,BG166+0)</f>
        <v>0</v>
      </c>
      <c r="BH167" s="40">
        <f t="shared" ref="BH167:BH175" si="113">IF(AV167="Дома",IF(AW167="В",BH166+1,BH166+0),BH166+0)</f>
        <v>0</v>
      </c>
      <c r="BI167" s="40">
        <f t="shared" ref="BI167:BI175" si="114">IF(AV167="Дома",IF(AW167="Н",BI166+1,BI166+0),BI166+0)</f>
        <v>0</v>
      </c>
      <c r="BJ167" s="40">
        <f t="shared" ref="BJ167:BJ175" si="115">IF(AV167="Дома",IF(AW167="П",BJ166+1,BJ166+0),BJ166+0)</f>
        <v>0</v>
      </c>
      <c r="BK167" s="40">
        <f t="shared" ref="BK167:BK175" si="116">IF(AV167="Дома",BK166+AX167,BK166+0)</f>
        <v>0</v>
      </c>
      <c r="BL167" s="40">
        <f t="shared" ref="BL167:BL175" si="117">IF(AV167="Дома",BL166+AY167,BL166+0)</f>
        <v>0</v>
      </c>
      <c r="BM167" s="40">
        <f t="shared" si="99"/>
        <v>0</v>
      </c>
      <c r="BN167" s="40">
        <f t="shared" ref="BN167:BN175" si="118">IF(AV167&lt;&gt;"Дома",BN166+1,BN166+0)</f>
        <v>2</v>
      </c>
      <c r="BO167" s="40">
        <f t="shared" ref="BO167:BO175" si="119">IF(AV167&lt;&gt;"Дома",IF(AW167="В",BO166+1,BO166+0),BO166+0)</f>
        <v>0</v>
      </c>
      <c r="BP167" s="40">
        <f t="shared" ref="BP167:BP175" si="120">IF(AV167&lt;&gt;"Дома",IF(AW167="Н",BP166+1,BP166+0),BP166+0)</f>
        <v>2</v>
      </c>
      <c r="BQ167" s="40">
        <f t="shared" ref="BQ167:BQ175" si="121">IF(AV167&lt;&gt;"Дома",IF(AW167="П",BQ166+1,BQ166+0),BQ166+0)</f>
        <v>0</v>
      </c>
      <c r="BR167" s="40">
        <f t="shared" ref="BR167:BR175" si="122">IF(AV167&lt;&gt;"Дома",BR166+AX167,BR166+0)</f>
        <v>7</v>
      </c>
      <c r="BS167" s="40">
        <f t="shared" ref="BS167:BS175" si="123">IF(AV167&lt;&gt;"Дома",BS166+AY167,BS166+0)</f>
        <v>7</v>
      </c>
      <c r="BT167" s="40">
        <f t="shared" si="100"/>
        <v>2</v>
      </c>
      <c r="BU167" s="24">
        <f t="shared" ref="BU167:BU175" si="124">IF(AV167="Дома",IF(AX167=0,BU166+1,BU166),BU166)</f>
        <v>0</v>
      </c>
      <c r="BV167" s="24">
        <f t="shared" ref="BV167:BV175" si="125">IF(AV167="Дома",IF(AX167=1,BV166+1,BV166),BV166)</f>
        <v>0</v>
      </c>
      <c r="BW167" s="24">
        <f t="shared" ref="BW167:BW175" si="126">IF(AV167="Дома",IF(AX167=2,BW166+1,BW166),BW166)</f>
        <v>0</v>
      </c>
      <c r="BX167" s="24">
        <f t="shared" ref="BX167:BX175" si="127">IF(AV167="Дома",IF(AX167&gt;=3,BX166+1,BX166),BX166)</f>
        <v>0</v>
      </c>
      <c r="BY167" s="24">
        <f t="shared" ref="BY167:BY175" si="128">IF(AV167&lt;&gt;"Дома",IF(AX167=0,BY166+1,BY166),BY166)</f>
        <v>0</v>
      </c>
      <c r="BZ167" s="24">
        <f t="shared" ref="BZ167:BZ175" si="129">IF(AV167&lt;&gt;"Дома",IF(AX167=1,BZ166+1,BZ166),BZ166)</f>
        <v>0</v>
      </c>
      <c r="CA167" s="24">
        <f t="shared" ref="CA167:CA175" si="130">IF(AV167&lt;&gt;"Дома",IF(AX167=2,CA166+1,CA166),CA166)</f>
        <v>1</v>
      </c>
      <c r="CB167" s="24">
        <f t="shared" ref="CB167:CB175" si="131">IF(AV167&lt;&gt;"Дома",IF(AX167&gt;=3,CB166+1,CB166),CB166)</f>
        <v>1</v>
      </c>
      <c r="CC167" s="43">
        <f t="shared" si="101"/>
        <v>3.5</v>
      </c>
      <c r="CD167" s="43">
        <f t="shared" si="102"/>
        <v>3.5</v>
      </c>
      <c r="CE167" s="100">
        <f t="shared" si="103"/>
        <v>0.21666666666666667</v>
      </c>
      <c r="CF167" s="106" t="str">
        <f t="shared" si="104"/>
        <v>Н</v>
      </c>
      <c r="CG167" s="29">
        <f t="shared" si="105"/>
        <v>4</v>
      </c>
      <c r="CH167" s="24"/>
      <c r="CI167" s="24"/>
      <c r="CJ167" s="24"/>
      <c r="CK167" s="24"/>
      <c r="CL167" s="24"/>
      <c r="CM167" s="24"/>
      <c r="CN167" s="24"/>
      <c r="CO167" s="24"/>
      <c r="CP167" s="24"/>
      <c r="CQ167" s="24"/>
      <c r="CR167" s="24"/>
      <c r="CS167" s="24"/>
      <c r="CT167" s="24"/>
      <c r="CU167" s="24"/>
      <c r="CV167" s="24"/>
      <c r="CW167" s="24"/>
      <c r="CX167" s="24"/>
      <c r="CY167" s="24"/>
      <c r="CZ167" s="24"/>
      <c r="DA167" s="24"/>
      <c r="DB167" s="24"/>
      <c r="DC167" s="24"/>
      <c r="DD167" s="24"/>
      <c r="DE167" s="24"/>
      <c r="DF167" s="24"/>
      <c r="DG167" s="24"/>
      <c r="DH167" s="24"/>
      <c r="DI167" s="24"/>
      <c r="DJ167" s="24"/>
      <c r="DK167" s="24"/>
      <c r="DL167" s="24"/>
      <c r="DM167" s="24"/>
      <c r="DN167" s="24"/>
      <c r="DO167" s="24"/>
      <c r="DP167" s="24"/>
      <c r="DQ167" s="24"/>
      <c r="DR167" s="24"/>
      <c r="DS167" s="24"/>
      <c r="DT167" s="24"/>
      <c r="DU167" s="24"/>
      <c r="DV167" s="24"/>
      <c r="DW167" s="24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</row>
    <row r="168" spans="1:166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98">
        <f>DATA!A16</f>
        <v>43384</v>
      </c>
      <c r="AN168" s="104">
        <f>DATA!C16</f>
        <v>3</v>
      </c>
      <c r="AO168" s="104" t="str">
        <f>DATA!D16</f>
        <v>Команда 2</v>
      </c>
      <c r="AP168" s="104" t="str">
        <f>DATA!E16</f>
        <v>4:1</v>
      </c>
      <c r="AQ168" s="24"/>
      <c r="AR168" s="105">
        <f t="shared" si="90"/>
        <v>3</v>
      </c>
      <c r="AS168" s="28" t="str">
        <f t="shared" si="91"/>
        <v>Команда 2</v>
      </c>
      <c r="AT168" s="40">
        <f t="shared" si="92"/>
        <v>4</v>
      </c>
      <c r="AU168" s="40">
        <f t="shared" si="93"/>
        <v>1</v>
      </c>
      <c r="AV168" s="24" t="str">
        <f t="shared" si="94"/>
        <v>В гостях</v>
      </c>
      <c r="AW168" s="24" t="str">
        <f t="shared" si="95"/>
        <v>П</v>
      </c>
      <c r="AX168" s="40">
        <f t="shared" si="96"/>
        <v>1</v>
      </c>
      <c r="AY168" s="40">
        <f t="shared" si="97"/>
        <v>4</v>
      </c>
      <c r="AZ168" s="40">
        <f t="shared" si="106"/>
        <v>3</v>
      </c>
      <c r="BA168" s="40">
        <f t="shared" si="107"/>
        <v>0</v>
      </c>
      <c r="BB168" s="40">
        <f t="shared" si="108"/>
        <v>2</v>
      </c>
      <c r="BC168" s="40">
        <f t="shared" si="109"/>
        <v>1</v>
      </c>
      <c r="BD168" s="40">
        <f t="shared" si="110"/>
        <v>8</v>
      </c>
      <c r="BE168" s="40">
        <f t="shared" si="111"/>
        <v>11</v>
      </c>
      <c r="BF168" s="40">
        <f t="shared" si="98"/>
        <v>2</v>
      </c>
      <c r="BG168" s="40">
        <f t="shared" si="112"/>
        <v>0</v>
      </c>
      <c r="BH168" s="40">
        <f t="shared" si="113"/>
        <v>0</v>
      </c>
      <c r="BI168" s="40">
        <f t="shared" si="114"/>
        <v>0</v>
      </c>
      <c r="BJ168" s="40">
        <f t="shared" si="115"/>
        <v>0</v>
      </c>
      <c r="BK168" s="40">
        <f t="shared" si="116"/>
        <v>0</v>
      </c>
      <c r="BL168" s="40">
        <f t="shared" si="117"/>
        <v>0</v>
      </c>
      <c r="BM168" s="40">
        <f t="shared" si="99"/>
        <v>0</v>
      </c>
      <c r="BN168" s="40">
        <f t="shared" si="118"/>
        <v>3</v>
      </c>
      <c r="BO168" s="40">
        <f t="shared" si="119"/>
        <v>0</v>
      </c>
      <c r="BP168" s="40">
        <f t="shared" si="120"/>
        <v>2</v>
      </c>
      <c r="BQ168" s="40">
        <f t="shared" si="121"/>
        <v>1</v>
      </c>
      <c r="BR168" s="40">
        <f t="shared" si="122"/>
        <v>8</v>
      </c>
      <c r="BS168" s="40">
        <f t="shared" si="123"/>
        <v>11</v>
      </c>
      <c r="BT168" s="40">
        <f t="shared" si="100"/>
        <v>2</v>
      </c>
      <c r="BU168" s="24">
        <f t="shared" si="124"/>
        <v>0</v>
      </c>
      <c r="BV168" s="24">
        <f t="shared" si="125"/>
        <v>0</v>
      </c>
      <c r="BW168" s="24">
        <f t="shared" si="126"/>
        <v>0</v>
      </c>
      <c r="BX168" s="24">
        <f t="shared" si="127"/>
        <v>0</v>
      </c>
      <c r="BY168" s="24">
        <f t="shared" si="128"/>
        <v>0</v>
      </c>
      <c r="BZ168" s="24">
        <f t="shared" si="129"/>
        <v>1</v>
      </c>
      <c r="CA168" s="24">
        <f t="shared" si="130"/>
        <v>1</v>
      </c>
      <c r="CB168" s="24">
        <f t="shared" si="131"/>
        <v>1</v>
      </c>
      <c r="CC168" s="43">
        <f t="shared" si="101"/>
        <v>2.6666666666666665</v>
      </c>
      <c r="CD168" s="43">
        <f t="shared" si="102"/>
        <v>3.6666666666666665</v>
      </c>
      <c r="CE168" s="100">
        <f t="shared" si="103"/>
        <v>8.8888888888888892E-2</v>
      </c>
      <c r="CF168" s="106" t="str">
        <f t="shared" si="104"/>
        <v>П</v>
      </c>
      <c r="CG168" s="29">
        <f t="shared" si="105"/>
        <v>5</v>
      </c>
      <c r="CH168" s="24"/>
      <c r="CI168" s="24"/>
      <c r="CJ168" s="24"/>
      <c r="CK168" s="24"/>
      <c r="CL168" s="24"/>
      <c r="CM168" s="24"/>
      <c r="CN168" s="24"/>
      <c r="CO168" s="24"/>
      <c r="CP168" s="24"/>
      <c r="CQ168" s="24"/>
      <c r="CR168" s="24"/>
      <c r="CS168" s="24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</row>
    <row r="169" spans="1:166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98">
        <f>DATA!A17</f>
        <v>43379</v>
      </c>
      <c r="AN169" s="104">
        <f>DATA!C17</f>
        <v>4</v>
      </c>
      <c r="AO169" s="104" t="str">
        <f>DATA!D17</f>
        <v>Команда 2</v>
      </c>
      <c r="AP169" s="104" t="str">
        <f>DATA!E17</f>
        <v>1:4</v>
      </c>
      <c r="AQ169" s="24"/>
      <c r="AR169" s="105">
        <f t="shared" si="90"/>
        <v>4</v>
      </c>
      <c r="AS169" s="28" t="str">
        <f t="shared" si="91"/>
        <v>Команда 2</v>
      </c>
      <c r="AT169" s="40">
        <f t="shared" si="92"/>
        <v>1</v>
      </c>
      <c r="AU169" s="40">
        <f t="shared" si="93"/>
        <v>4</v>
      </c>
      <c r="AV169" s="24" t="str">
        <f t="shared" si="94"/>
        <v>В гостях</v>
      </c>
      <c r="AW169" s="24" t="str">
        <f t="shared" si="95"/>
        <v>В</v>
      </c>
      <c r="AX169" s="40">
        <f t="shared" si="96"/>
        <v>4</v>
      </c>
      <c r="AY169" s="40">
        <f t="shared" si="97"/>
        <v>1</v>
      </c>
      <c r="AZ169" s="40">
        <f t="shared" si="106"/>
        <v>4</v>
      </c>
      <c r="BA169" s="40">
        <f t="shared" si="107"/>
        <v>1</v>
      </c>
      <c r="BB169" s="40">
        <f t="shared" si="108"/>
        <v>2</v>
      </c>
      <c r="BC169" s="40">
        <f t="shared" si="109"/>
        <v>1</v>
      </c>
      <c r="BD169" s="40">
        <f t="shared" si="110"/>
        <v>12</v>
      </c>
      <c r="BE169" s="40">
        <f t="shared" si="111"/>
        <v>12</v>
      </c>
      <c r="BF169" s="40">
        <f t="shared" si="98"/>
        <v>5</v>
      </c>
      <c r="BG169" s="40">
        <f t="shared" si="112"/>
        <v>0</v>
      </c>
      <c r="BH169" s="40">
        <f t="shared" si="113"/>
        <v>0</v>
      </c>
      <c r="BI169" s="40">
        <f t="shared" si="114"/>
        <v>0</v>
      </c>
      <c r="BJ169" s="40">
        <f t="shared" si="115"/>
        <v>0</v>
      </c>
      <c r="BK169" s="40">
        <f t="shared" si="116"/>
        <v>0</v>
      </c>
      <c r="BL169" s="40">
        <f t="shared" si="117"/>
        <v>0</v>
      </c>
      <c r="BM169" s="40">
        <f t="shared" si="99"/>
        <v>0</v>
      </c>
      <c r="BN169" s="40">
        <f t="shared" si="118"/>
        <v>4</v>
      </c>
      <c r="BO169" s="40">
        <f t="shared" si="119"/>
        <v>1</v>
      </c>
      <c r="BP169" s="40">
        <f t="shared" si="120"/>
        <v>2</v>
      </c>
      <c r="BQ169" s="40">
        <f t="shared" si="121"/>
        <v>1</v>
      </c>
      <c r="BR169" s="40">
        <f t="shared" si="122"/>
        <v>12</v>
      </c>
      <c r="BS169" s="40">
        <f t="shared" si="123"/>
        <v>12</v>
      </c>
      <c r="BT169" s="40">
        <f t="shared" si="100"/>
        <v>5</v>
      </c>
      <c r="BU169" s="24">
        <f t="shared" si="124"/>
        <v>0</v>
      </c>
      <c r="BV169" s="24">
        <f t="shared" si="125"/>
        <v>0</v>
      </c>
      <c r="BW169" s="24">
        <f t="shared" si="126"/>
        <v>0</v>
      </c>
      <c r="BX169" s="24">
        <f t="shared" si="127"/>
        <v>0</v>
      </c>
      <c r="BY169" s="24">
        <f t="shared" si="128"/>
        <v>0</v>
      </c>
      <c r="BZ169" s="24">
        <f t="shared" si="129"/>
        <v>1</v>
      </c>
      <c r="CA169" s="24">
        <f t="shared" si="130"/>
        <v>1</v>
      </c>
      <c r="CB169" s="24">
        <f t="shared" si="131"/>
        <v>2</v>
      </c>
      <c r="CC169" s="43">
        <f t="shared" si="101"/>
        <v>3</v>
      </c>
      <c r="CD169" s="43">
        <f t="shared" si="102"/>
        <v>3</v>
      </c>
      <c r="CE169" s="100">
        <f t="shared" si="103"/>
        <v>0.22500000000000001</v>
      </c>
      <c r="CF169" s="106" t="str">
        <f t="shared" si="104"/>
        <v>В</v>
      </c>
      <c r="CG169" s="29">
        <f t="shared" si="105"/>
        <v>5</v>
      </c>
      <c r="CH169" s="24"/>
      <c r="CI169" s="24"/>
      <c r="CJ169" s="24"/>
      <c r="CK169" s="24"/>
      <c r="CL169" s="24"/>
      <c r="CM169" s="24"/>
      <c r="CN169" s="24"/>
      <c r="CO169" s="24"/>
      <c r="CP169" s="24"/>
      <c r="CQ169" s="24"/>
      <c r="CR169" s="24"/>
      <c r="CS169" s="24"/>
      <c r="CT169" s="24"/>
      <c r="CU169" s="24"/>
      <c r="CV169" s="24"/>
      <c r="CW169" s="24"/>
      <c r="CX169" s="24"/>
      <c r="CY169" s="24"/>
      <c r="CZ169" s="24"/>
      <c r="DA169" s="24"/>
      <c r="DB169" s="24"/>
      <c r="DC169" s="24"/>
      <c r="DD169" s="24"/>
      <c r="DE169" s="24"/>
      <c r="DF169" s="24"/>
      <c r="DG169" s="24"/>
      <c r="DH169" s="24"/>
      <c r="DI169" s="24"/>
      <c r="DJ169" s="24"/>
      <c r="DK169" s="24"/>
      <c r="DL169" s="24"/>
      <c r="DM169" s="24"/>
      <c r="DN169" s="24"/>
      <c r="DO169" s="24"/>
      <c r="DP169" s="24"/>
      <c r="DQ169" s="24"/>
      <c r="DR169" s="24"/>
      <c r="DS169" s="24"/>
      <c r="DT169" s="24"/>
      <c r="DU169" s="24"/>
      <c r="DV169" s="24"/>
      <c r="DW169" s="24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</row>
    <row r="170" spans="1:166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98">
        <f>DATA!A18</f>
        <v>43378</v>
      </c>
      <c r="AN170" s="104">
        <f>DATA!C18</f>
        <v>5</v>
      </c>
      <c r="AO170" s="104" t="str">
        <f>DATA!D18</f>
        <v>Команда 2</v>
      </c>
      <c r="AP170" s="104" t="str">
        <f>DATA!E18</f>
        <v>4:1</v>
      </c>
      <c r="AQ170" s="24"/>
      <c r="AR170" s="105">
        <f t="shared" si="90"/>
        <v>5</v>
      </c>
      <c r="AS170" s="28" t="str">
        <f t="shared" si="91"/>
        <v>Команда 2</v>
      </c>
      <c r="AT170" s="40">
        <f t="shared" si="92"/>
        <v>4</v>
      </c>
      <c r="AU170" s="40">
        <f t="shared" si="93"/>
        <v>1</v>
      </c>
      <c r="AV170" s="24" t="str">
        <f t="shared" si="94"/>
        <v>В гостях</v>
      </c>
      <c r="AW170" s="24" t="str">
        <f t="shared" si="95"/>
        <v>П</v>
      </c>
      <c r="AX170" s="40">
        <f t="shared" si="96"/>
        <v>1</v>
      </c>
      <c r="AY170" s="40">
        <f t="shared" si="97"/>
        <v>4</v>
      </c>
      <c r="AZ170" s="40">
        <f t="shared" si="106"/>
        <v>5</v>
      </c>
      <c r="BA170" s="40">
        <f t="shared" si="107"/>
        <v>1</v>
      </c>
      <c r="BB170" s="40">
        <f t="shared" si="108"/>
        <v>2</v>
      </c>
      <c r="BC170" s="40">
        <f t="shared" si="109"/>
        <v>2</v>
      </c>
      <c r="BD170" s="40">
        <f t="shared" si="110"/>
        <v>13</v>
      </c>
      <c r="BE170" s="40">
        <f t="shared" si="111"/>
        <v>16</v>
      </c>
      <c r="BF170" s="40">
        <f t="shared" si="98"/>
        <v>5</v>
      </c>
      <c r="BG170" s="40">
        <f t="shared" si="112"/>
        <v>0</v>
      </c>
      <c r="BH170" s="40">
        <f t="shared" si="113"/>
        <v>0</v>
      </c>
      <c r="BI170" s="40">
        <f t="shared" si="114"/>
        <v>0</v>
      </c>
      <c r="BJ170" s="40">
        <f t="shared" si="115"/>
        <v>0</v>
      </c>
      <c r="BK170" s="40">
        <f t="shared" si="116"/>
        <v>0</v>
      </c>
      <c r="BL170" s="40">
        <f t="shared" si="117"/>
        <v>0</v>
      </c>
      <c r="BM170" s="40">
        <f t="shared" si="99"/>
        <v>0</v>
      </c>
      <c r="BN170" s="40">
        <f t="shared" si="118"/>
        <v>5</v>
      </c>
      <c r="BO170" s="40">
        <f t="shared" si="119"/>
        <v>1</v>
      </c>
      <c r="BP170" s="40">
        <f t="shared" si="120"/>
        <v>2</v>
      </c>
      <c r="BQ170" s="40">
        <f t="shared" si="121"/>
        <v>2</v>
      </c>
      <c r="BR170" s="40">
        <f t="shared" si="122"/>
        <v>13</v>
      </c>
      <c r="BS170" s="40">
        <f t="shared" si="123"/>
        <v>16</v>
      </c>
      <c r="BT170" s="40">
        <f t="shared" si="100"/>
        <v>5</v>
      </c>
      <c r="BU170" s="24">
        <f t="shared" si="124"/>
        <v>0</v>
      </c>
      <c r="BV170" s="24">
        <f t="shared" si="125"/>
        <v>0</v>
      </c>
      <c r="BW170" s="24">
        <f t="shared" si="126"/>
        <v>0</v>
      </c>
      <c r="BX170" s="24">
        <f t="shared" si="127"/>
        <v>0</v>
      </c>
      <c r="BY170" s="24">
        <f t="shared" si="128"/>
        <v>0</v>
      </c>
      <c r="BZ170" s="24">
        <f t="shared" si="129"/>
        <v>2</v>
      </c>
      <c r="CA170" s="24">
        <f t="shared" si="130"/>
        <v>1</v>
      </c>
      <c r="CB170" s="24">
        <f t="shared" si="131"/>
        <v>2</v>
      </c>
      <c r="CC170" s="43">
        <f t="shared" si="101"/>
        <v>2.6</v>
      </c>
      <c r="CD170" s="43">
        <f t="shared" si="102"/>
        <v>3.2</v>
      </c>
      <c r="CE170" s="100">
        <f t="shared" si="103"/>
        <v>0.14666666666666667</v>
      </c>
      <c r="CF170" s="106" t="str">
        <f t="shared" si="104"/>
        <v>П</v>
      </c>
      <c r="CG170" s="29">
        <f t="shared" si="105"/>
        <v>5</v>
      </c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DL170" s="24"/>
      <c r="DM170" s="24"/>
      <c r="DN170" s="24"/>
      <c r="DO170" s="24"/>
      <c r="DP170" s="24"/>
      <c r="DQ170" s="24"/>
      <c r="DR170" s="24"/>
      <c r="DS170" s="24"/>
      <c r="DT170" s="24"/>
      <c r="DU170" s="24"/>
      <c r="DV170" s="24"/>
      <c r="DW170" s="24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</row>
    <row r="171" spans="1:166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98">
        <f>DATA!A19</f>
        <v>43373</v>
      </c>
      <c r="AN171" s="104">
        <f>DATA!C19</f>
        <v>6</v>
      </c>
      <c r="AO171" s="104" t="str">
        <f>DATA!D19</f>
        <v>Команда 2</v>
      </c>
      <c r="AP171" s="104" t="str">
        <f>DATA!E19</f>
        <v>4:3</v>
      </c>
      <c r="AQ171" s="24"/>
      <c r="AR171" s="105">
        <f t="shared" si="90"/>
        <v>6</v>
      </c>
      <c r="AS171" s="28" t="str">
        <f t="shared" si="91"/>
        <v>Команда 2</v>
      </c>
      <c r="AT171" s="40">
        <f t="shared" si="92"/>
        <v>4</v>
      </c>
      <c r="AU171" s="40">
        <f t="shared" si="93"/>
        <v>3</v>
      </c>
      <c r="AV171" s="24" t="str">
        <f t="shared" si="94"/>
        <v>В гостях</v>
      </c>
      <c r="AW171" s="24" t="str">
        <f t="shared" si="95"/>
        <v>П</v>
      </c>
      <c r="AX171" s="40">
        <f t="shared" si="96"/>
        <v>3</v>
      </c>
      <c r="AY171" s="40">
        <f t="shared" si="97"/>
        <v>4</v>
      </c>
      <c r="AZ171" s="40">
        <f t="shared" si="106"/>
        <v>6</v>
      </c>
      <c r="BA171" s="40">
        <f t="shared" si="107"/>
        <v>1</v>
      </c>
      <c r="BB171" s="40">
        <f t="shared" si="108"/>
        <v>2</v>
      </c>
      <c r="BC171" s="40">
        <f t="shared" si="109"/>
        <v>3</v>
      </c>
      <c r="BD171" s="40">
        <f t="shared" si="110"/>
        <v>16</v>
      </c>
      <c r="BE171" s="40">
        <f t="shared" si="111"/>
        <v>20</v>
      </c>
      <c r="BF171" s="40">
        <f t="shared" si="98"/>
        <v>5</v>
      </c>
      <c r="BG171" s="40">
        <f t="shared" si="112"/>
        <v>0</v>
      </c>
      <c r="BH171" s="40">
        <f t="shared" si="113"/>
        <v>0</v>
      </c>
      <c r="BI171" s="40">
        <f t="shared" si="114"/>
        <v>0</v>
      </c>
      <c r="BJ171" s="40">
        <f t="shared" si="115"/>
        <v>0</v>
      </c>
      <c r="BK171" s="40">
        <f t="shared" si="116"/>
        <v>0</v>
      </c>
      <c r="BL171" s="40">
        <f t="shared" si="117"/>
        <v>0</v>
      </c>
      <c r="BM171" s="40">
        <f t="shared" si="99"/>
        <v>0</v>
      </c>
      <c r="BN171" s="40">
        <f t="shared" si="118"/>
        <v>6</v>
      </c>
      <c r="BO171" s="40">
        <f t="shared" si="119"/>
        <v>1</v>
      </c>
      <c r="BP171" s="40">
        <f t="shared" si="120"/>
        <v>2</v>
      </c>
      <c r="BQ171" s="40">
        <f t="shared" si="121"/>
        <v>3</v>
      </c>
      <c r="BR171" s="40">
        <f t="shared" si="122"/>
        <v>16</v>
      </c>
      <c r="BS171" s="40">
        <f t="shared" si="123"/>
        <v>20</v>
      </c>
      <c r="BT171" s="40">
        <f t="shared" si="100"/>
        <v>5</v>
      </c>
      <c r="BU171" s="24">
        <f t="shared" si="124"/>
        <v>0</v>
      </c>
      <c r="BV171" s="24">
        <f t="shared" si="125"/>
        <v>0</v>
      </c>
      <c r="BW171" s="24">
        <f t="shared" si="126"/>
        <v>0</v>
      </c>
      <c r="BX171" s="24">
        <f t="shared" si="127"/>
        <v>0</v>
      </c>
      <c r="BY171" s="24">
        <f t="shared" si="128"/>
        <v>0</v>
      </c>
      <c r="BZ171" s="24">
        <f t="shared" si="129"/>
        <v>2</v>
      </c>
      <c r="CA171" s="24">
        <f t="shared" si="130"/>
        <v>1</v>
      </c>
      <c r="CB171" s="24">
        <f t="shared" si="131"/>
        <v>3</v>
      </c>
      <c r="CC171" s="43">
        <f t="shared" si="101"/>
        <v>2.6666666666666665</v>
      </c>
      <c r="CD171" s="43">
        <f t="shared" si="102"/>
        <v>3.3333333333333335</v>
      </c>
      <c r="CE171" s="100">
        <f t="shared" si="103"/>
        <v>0.12777777777777777</v>
      </c>
      <c r="CF171" s="106" t="str">
        <f t="shared" si="104"/>
        <v>П</v>
      </c>
      <c r="CG171" s="29">
        <f t="shared" si="105"/>
        <v>7</v>
      </c>
      <c r="CH171" s="24"/>
      <c r="CI171" s="24"/>
      <c r="CJ171" s="24"/>
      <c r="CK171" s="24"/>
      <c r="CL171" s="24"/>
      <c r="CM171" s="24"/>
      <c r="CN171" s="24"/>
      <c r="CO171" s="24"/>
      <c r="CP171" s="24"/>
      <c r="CQ171" s="24"/>
      <c r="CR171" s="24"/>
      <c r="CS171" s="24"/>
      <c r="CT171" s="24"/>
      <c r="CU171" s="24"/>
      <c r="CV171" s="24"/>
      <c r="CW171" s="24"/>
      <c r="CX171" s="24"/>
      <c r="CY171" s="24"/>
      <c r="CZ171" s="24"/>
      <c r="DA171" s="24"/>
      <c r="DB171" s="24"/>
      <c r="DC171" s="24"/>
      <c r="DD171" s="24"/>
      <c r="DE171" s="24"/>
      <c r="DF171" s="24"/>
      <c r="DG171" s="24"/>
      <c r="DH171" s="24"/>
      <c r="DI171" s="24"/>
      <c r="DJ171" s="24"/>
      <c r="DK171" s="24"/>
      <c r="DL171" s="24"/>
      <c r="DM171" s="24"/>
      <c r="DN171" s="24"/>
      <c r="DO171" s="24"/>
      <c r="DP171" s="24"/>
      <c r="DQ171" s="24"/>
      <c r="DR171" s="24"/>
      <c r="DS171" s="24"/>
      <c r="DT171" s="24"/>
      <c r="DU171" s="24"/>
      <c r="DV171" s="24"/>
      <c r="DW171" s="24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</row>
    <row r="172" spans="1:166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98">
        <f>DATA!A20</f>
        <v>43372</v>
      </c>
      <c r="AN172" s="104">
        <f>DATA!C20</f>
        <v>7</v>
      </c>
      <c r="AO172" s="104" t="str">
        <f>DATA!D20</f>
        <v>Команда 2</v>
      </c>
      <c r="AP172" s="104" t="str">
        <f>DATA!E20</f>
        <v>6:0</v>
      </c>
      <c r="AQ172" s="24"/>
      <c r="AR172" s="105">
        <f t="shared" si="90"/>
        <v>7</v>
      </c>
      <c r="AS172" s="28" t="str">
        <f t="shared" si="91"/>
        <v>Команда 2</v>
      </c>
      <c r="AT172" s="40">
        <f t="shared" si="92"/>
        <v>6</v>
      </c>
      <c r="AU172" s="40">
        <f t="shared" si="93"/>
        <v>0</v>
      </c>
      <c r="AV172" s="24" t="str">
        <f t="shared" si="94"/>
        <v>В гостях</v>
      </c>
      <c r="AW172" s="24" t="str">
        <f t="shared" si="95"/>
        <v>П</v>
      </c>
      <c r="AX172" s="40">
        <f t="shared" si="96"/>
        <v>0</v>
      </c>
      <c r="AY172" s="40">
        <f t="shared" si="97"/>
        <v>6</v>
      </c>
      <c r="AZ172" s="40">
        <f t="shared" si="106"/>
        <v>7</v>
      </c>
      <c r="BA172" s="40">
        <f t="shared" si="107"/>
        <v>1</v>
      </c>
      <c r="BB172" s="40">
        <f t="shared" si="108"/>
        <v>2</v>
      </c>
      <c r="BC172" s="40">
        <f t="shared" si="109"/>
        <v>4</v>
      </c>
      <c r="BD172" s="40">
        <f t="shared" si="110"/>
        <v>16</v>
      </c>
      <c r="BE172" s="40">
        <f t="shared" si="111"/>
        <v>26</v>
      </c>
      <c r="BF172" s="40">
        <f t="shared" si="98"/>
        <v>5</v>
      </c>
      <c r="BG172" s="40">
        <f t="shared" si="112"/>
        <v>0</v>
      </c>
      <c r="BH172" s="40">
        <f t="shared" si="113"/>
        <v>0</v>
      </c>
      <c r="BI172" s="40">
        <f t="shared" si="114"/>
        <v>0</v>
      </c>
      <c r="BJ172" s="40">
        <f t="shared" si="115"/>
        <v>0</v>
      </c>
      <c r="BK172" s="40">
        <f t="shared" si="116"/>
        <v>0</v>
      </c>
      <c r="BL172" s="40">
        <f t="shared" si="117"/>
        <v>0</v>
      </c>
      <c r="BM172" s="40">
        <f t="shared" si="99"/>
        <v>0</v>
      </c>
      <c r="BN172" s="40">
        <f t="shared" si="118"/>
        <v>7</v>
      </c>
      <c r="BO172" s="40">
        <f t="shared" si="119"/>
        <v>1</v>
      </c>
      <c r="BP172" s="40">
        <f t="shared" si="120"/>
        <v>2</v>
      </c>
      <c r="BQ172" s="40">
        <f t="shared" si="121"/>
        <v>4</v>
      </c>
      <c r="BR172" s="40">
        <f t="shared" si="122"/>
        <v>16</v>
      </c>
      <c r="BS172" s="40">
        <f t="shared" si="123"/>
        <v>26</v>
      </c>
      <c r="BT172" s="40">
        <f t="shared" si="100"/>
        <v>5</v>
      </c>
      <c r="BU172" s="24">
        <f t="shared" si="124"/>
        <v>0</v>
      </c>
      <c r="BV172" s="24">
        <f t="shared" si="125"/>
        <v>0</v>
      </c>
      <c r="BW172" s="24">
        <f t="shared" si="126"/>
        <v>0</v>
      </c>
      <c r="BX172" s="24">
        <f t="shared" si="127"/>
        <v>0</v>
      </c>
      <c r="BY172" s="24">
        <f t="shared" si="128"/>
        <v>1</v>
      </c>
      <c r="BZ172" s="24">
        <f t="shared" si="129"/>
        <v>2</v>
      </c>
      <c r="CA172" s="24">
        <f t="shared" si="130"/>
        <v>1</v>
      </c>
      <c r="CB172" s="24">
        <f t="shared" si="131"/>
        <v>3</v>
      </c>
      <c r="CC172" s="43">
        <f t="shared" si="101"/>
        <v>2.2857142857142856</v>
      </c>
      <c r="CD172" s="43">
        <f t="shared" si="102"/>
        <v>3.7142857142857144</v>
      </c>
      <c r="CE172" s="100">
        <f t="shared" si="103"/>
        <v>5.2380952380952375E-2</v>
      </c>
      <c r="CF172" s="106" t="str">
        <f t="shared" si="104"/>
        <v>П</v>
      </c>
      <c r="CG172" s="29">
        <f t="shared" si="105"/>
        <v>6</v>
      </c>
      <c r="CH172" s="24"/>
      <c r="CI172" s="24"/>
      <c r="CJ172" s="24"/>
      <c r="CK172" s="24"/>
      <c r="CL172" s="24"/>
      <c r="CM172" s="24"/>
      <c r="CN172" s="24"/>
      <c r="CO172" s="24"/>
      <c r="CP172" s="24"/>
      <c r="CQ172" s="24"/>
      <c r="CR172" s="24"/>
      <c r="CS172" s="24"/>
      <c r="CT172" s="24"/>
      <c r="CU172" s="24"/>
      <c r="CV172" s="24"/>
      <c r="CW172" s="24"/>
      <c r="CX172" s="24"/>
      <c r="CY172" s="24"/>
      <c r="CZ172" s="24"/>
      <c r="DA172" s="24"/>
      <c r="DB172" s="24"/>
      <c r="DC172" s="24"/>
      <c r="DD172" s="24"/>
      <c r="DE172" s="24"/>
      <c r="DF172" s="24"/>
      <c r="DG172" s="24"/>
      <c r="DH172" s="24"/>
      <c r="DI172" s="24"/>
      <c r="DJ172" s="24"/>
      <c r="DK172" s="24"/>
      <c r="DL172" s="24"/>
      <c r="DM172" s="24"/>
      <c r="DN172" s="24"/>
      <c r="DO172" s="24"/>
      <c r="DP172" s="24"/>
      <c r="DQ172" s="24"/>
      <c r="DR172" s="24"/>
      <c r="DS172" s="24"/>
      <c r="DT172" s="24"/>
      <c r="DU172" s="24"/>
      <c r="DV172" s="24"/>
      <c r="DW172" s="24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</row>
    <row r="173" spans="1:166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98">
        <f>DATA!A21</f>
        <v>43365</v>
      </c>
      <c r="AN173" s="104">
        <f>DATA!C21</f>
        <v>8</v>
      </c>
      <c r="AO173" s="104" t="str">
        <f>DATA!D21</f>
        <v>Команда 2</v>
      </c>
      <c r="AP173" s="104" t="str">
        <f>DATA!E21</f>
        <v>4:1</v>
      </c>
      <c r="AQ173" s="24"/>
      <c r="AR173" s="105">
        <f t="shared" si="90"/>
        <v>8</v>
      </c>
      <c r="AS173" s="28" t="str">
        <f t="shared" si="91"/>
        <v>Команда 2</v>
      </c>
      <c r="AT173" s="40">
        <f t="shared" si="92"/>
        <v>4</v>
      </c>
      <c r="AU173" s="40">
        <f t="shared" si="93"/>
        <v>1</v>
      </c>
      <c r="AV173" s="24" t="str">
        <f t="shared" si="94"/>
        <v>В гостях</v>
      </c>
      <c r="AW173" s="24" t="str">
        <f t="shared" si="95"/>
        <v>П</v>
      </c>
      <c r="AX173" s="40">
        <f t="shared" si="96"/>
        <v>1</v>
      </c>
      <c r="AY173" s="40">
        <f t="shared" si="97"/>
        <v>4</v>
      </c>
      <c r="AZ173" s="40">
        <f t="shared" si="106"/>
        <v>8</v>
      </c>
      <c r="BA173" s="40">
        <f t="shared" si="107"/>
        <v>1</v>
      </c>
      <c r="BB173" s="40">
        <f t="shared" si="108"/>
        <v>2</v>
      </c>
      <c r="BC173" s="40">
        <f t="shared" si="109"/>
        <v>5</v>
      </c>
      <c r="BD173" s="40">
        <f t="shared" si="110"/>
        <v>17</v>
      </c>
      <c r="BE173" s="40">
        <f t="shared" si="111"/>
        <v>30</v>
      </c>
      <c r="BF173" s="40">
        <f t="shared" si="98"/>
        <v>5</v>
      </c>
      <c r="BG173" s="40">
        <f t="shared" si="112"/>
        <v>0</v>
      </c>
      <c r="BH173" s="40">
        <f t="shared" si="113"/>
        <v>0</v>
      </c>
      <c r="BI173" s="40">
        <f t="shared" si="114"/>
        <v>0</v>
      </c>
      <c r="BJ173" s="40">
        <f t="shared" si="115"/>
        <v>0</v>
      </c>
      <c r="BK173" s="40">
        <f t="shared" si="116"/>
        <v>0</v>
      </c>
      <c r="BL173" s="40">
        <f t="shared" si="117"/>
        <v>0</v>
      </c>
      <c r="BM173" s="40">
        <f t="shared" si="99"/>
        <v>0</v>
      </c>
      <c r="BN173" s="40">
        <f t="shared" si="118"/>
        <v>8</v>
      </c>
      <c r="BO173" s="40">
        <f t="shared" si="119"/>
        <v>1</v>
      </c>
      <c r="BP173" s="40">
        <f t="shared" si="120"/>
        <v>2</v>
      </c>
      <c r="BQ173" s="40">
        <f t="shared" si="121"/>
        <v>5</v>
      </c>
      <c r="BR173" s="40">
        <f t="shared" si="122"/>
        <v>17</v>
      </c>
      <c r="BS173" s="40">
        <f t="shared" si="123"/>
        <v>30</v>
      </c>
      <c r="BT173" s="40">
        <f t="shared" si="100"/>
        <v>5</v>
      </c>
      <c r="BU173" s="24">
        <f t="shared" si="124"/>
        <v>0</v>
      </c>
      <c r="BV173" s="24">
        <f t="shared" si="125"/>
        <v>0</v>
      </c>
      <c r="BW173" s="24">
        <f t="shared" si="126"/>
        <v>0</v>
      </c>
      <c r="BX173" s="24">
        <f t="shared" si="127"/>
        <v>0</v>
      </c>
      <c r="BY173" s="24">
        <f t="shared" si="128"/>
        <v>1</v>
      </c>
      <c r="BZ173" s="24">
        <f t="shared" si="129"/>
        <v>3</v>
      </c>
      <c r="CA173" s="24">
        <f t="shared" si="130"/>
        <v>1</v>
      </c>
      <c r="CB173" s="24">
        <f t="shared" si="131"/>
        <v>3</v>
      </c>
      <c r="CC173" s="43">
        <f t="shared" si="101"/>
        <v>2.125</v>
      </c>
      <c r="CD173" s="43">
        <f t="shared" si="102"/>
        <v>3.75</v>
      </c>
      <c r="CE173" s="100">
        <f t="shared" si="103"/>
        <v>2.5000000000000001E-2</v>
      </c>
      <c r="CF173" s="106" t="str">
        <f t="shared" si="104"/>
        <v>П</v>
      </c>
      <c r="CG173" s="29">
        <f t="shared" si="105"/>
        <v>5</v>
      </c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</row>
    <row r="174" spans="1:166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98">
        <f>DATA!A22</f>
        <v>43363</v>
      </c>
      <c r="AN174" s="104">
        <f>DATA!C22</f>
        <v>9</v>
      </c>
      <c r="AO174" s="104" t="str">
        <f>DATA!D22</f>
        <v>Команда 2</v>
      </c>
      <c r="AP174" s="104" t="str">
        <f>DATA!E22</f>
        <v>2:0</v>
      </c>
      <c r="AQ174" s="24"/>
      <c r="AR174" s="105">
        <f t="shared" si="90"/>
        <v>9</v>
      </c>
      <c r="AS174" s="28" t="str">
        <f t="shared" si="91"/>
        <v>Команда 2</v>
      </c>
      <c r="AT174" s="40">
        <f t="shared" si="92"/>
        <v>2</v>
      </c>
      <c r="AU174" s="40">
        <f t="shared" si="93"/>
        <v>0</v>
      </c>
      <c r="AV174" s="24" t="str">
        <f t="shared" si="94"/>
        <v>В гостях</v>
      </c>
      <c r="AW174" s="24" t="str">
        <f t="shared" si="95"/>
        <v>П</v>
      </c>
      <c r="AX174" s="40">
        <f t="shared" si="96"/>
        <v>0</v>
      </c>
      <c r="AY174" s="40">
        <f t="shared" si="97"/>
        <v>2</v>
      </c>
      <c r="AZ174" s="40">
        <f t="shared" si="106"/>
        <v>9</v>
      </c>
      <c r="BA174" s="40">
        <f t="shared" si="107"/>
        <v>1</v>
      </c>
      <c r="BB174" s="40">
        <f t="shared" si="108"/>
        <v>2</v>
      </c>
      <c r="BC174" s="40">
        <f t="shared" si="109"/>
        <v>6</v>
      </c>
      <c r="BD174" s="40">
        <f t="shared" si="110"/>
        <v>17</v>
      </c>
      <c r="BE174" s="40">
        <f t="shared" si="111"/>
        <v>32</v>
      </c>
      <c r="BF174" s="40">
        <f t="shared" si="98"/>
        <v>5</v>
      </c>
      <c r="BG174" s="40">
        <f t="shared" si="112"/>
        <v>0</v>
      </c>
      <c r="BH174" s="40">
        <f t="shared" si="113"/>
        <v>0</v>
      </c>
      <c r="BI174" s="40">
        <f t="shared" si="114"/>
        <v>0</v>
      </c>
      <c r="BJ174" s="40">
        <f t="shared" si="115"/>
        <v>0</v>
      </c>
      <c r="BK174" s="40">
        <f t="shared" si="116"/>
        <v>0</v>
      </c>
      <c r="BL174" s="40">
        <f t="shared" si="117"/>
        <v>0</v>
      </c>
      <c r="BM174" s="40">
        <f t="shared" si="99"/>
        <v>0</v>
      </c>
      <c r="BN174" s="40">
        <f t="shared" si="118"/>
        <v>9</v>
      </c>
      <c r="BO174" s="40">
        <f t="shared" si="119"/>
        <v>1</v>
      </c>
      <c r="BP174" s="40">
        <f t="shared" si="120"/>
        <v>2</v>
      </c>
      <c r="BQ174" s="40">
        <f t="shared" si="121"/>
        <v>6</v>
      </c>
      <c r="BR174" s="40">
        <f t="shared" si="122"/>
        <v>17</v>
      </c>
      <c r="BS174" s="40">
        <f t="shared" si="123"/>
        <v>32</v>
      </c>
      <c r="BT174" s="40">
        <f t="shared" si="100"/>
        <v>5</v>
      </c>
      <c r="BU174" s="24">
        <f t="shared" si="124"/>
        <v>0</v>
      </c>
      <c r="BV174" s="24">
        <f t="shared" si="125"/>
        <v>0</v>
      </c>
      <c r="BW174" s="24">
        <f t="shared" si="126"/>
        <v>0</v>
      </c>
      <c r="BX174" s="24">
        <f t="shared" si="127"/>
        <v>0</v>
      </c>
      <c r="BY174" s="24">
        <f t="shared" si="128"/>
        <v>2</v>
      </c>
      <c r="BZ174" s="24">
        <f t="shared" si="129"/>
        <v>3</v>
      </c>
      <c r="CA174" s="24">
        <f t="shared" si="130"/>
        <v>1</v>
      </c>
      <c r="CB174" s="24">
        <f t="shared" si="131"/>
        <v>3</v>
      </c>
      <c r="CC174" s="43">
        <f t="shared" si="101"/>
        <v>1.8888888888888888</v>
      </c>
      <c r="CD174" s="43">
        <f t="shared" si="102"/>
        <v>3.5555555555555554</v>
      </c>
      <c r="CE174" s="100">
        <f t="shared" si="103"/>
        <v>7.4074074074074103E-3</v>
      </c>
      <c r="CF174" s="106" t="str">
        <f t="shared" si="104"/>
        <v>П</v>
      </c>
      <c r="CG174" s="29">
        <f t="shared" si="105"/>
        <v>2</v>
      </c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</row>
    <row r="175" spans="1:166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98">
        <f>DATA!A23</f>
        <v>43352</v>
      </c>
      <c r="AN175" s="104">
        <f>DATA!C23</f>
        <v>10</v>
      </c>
      <c r="AO175" s="104" t="str">
        <f>DATA!D23</f>
        <v>Команда 2</v>
      </c>
      <c r="AP175" s="104" t="str">
        <f>DATA!E23</f>
        <v>1:1</v>
      </c>
      <c r="AQ175" s="24"/>
      <c r="AR175" s="105">
        <f t="shared" si="90"/>
        <v>10</v>
      </c>
      <c r="AS175" s="28" t="str">
        <f t="shared" si="91"/>
        <v>Команда 2</v>
      </c>
      <c r="AT175" s="40">
        <f t="shared" si="92"/>
        <v>1</v>
      </c>
      <c r="AU175" s="40">
        <f t="shared" si="93"/>
        <v>1</v>
      </c>
      <c r="AV175" s="24" t="str">
        <f t="shared" si="94"/>
        <v>В гостях</v>
      </c>
      <c r="AW175" s="24" t="str">
        <f t="shared" si="95"/>
        <v>Н</v>
      </c>
      <c r="AX175" s="40">
        <f t="shared" si="96"/>
        <v>1</v>
      </c>
      <c r="AY175" s="40">
        <f t="shared" si="97"/>
        <v>1</v>
      </c>
      <c r="AZ175" s="40">
        <f t="shared" si="106"/>
        <v>10</v>
      </c>
      <c r="BA175" s="40">
        <f t="shared" si="107"/>
        <v>1</v>
      </c>
      <c r="BB175" s="40">
        <f t="shared" si="108"/>
        <v>3</v>
      </c>
      <c r="BC175" s="40">
        <f t="shared" si="109"/>
        <v>6</v>
      </c>
      <c r="BD175" s="40">
        <f t="shared" si="110"/>
        <v>18</v>
      </c>
      <c r="BE175" s="40">
        <f t="shared" si="111"/>
        <v>33</v>
      </c>
      <c r="BF175" s="40">
        <f t="shared" si="98"/>
        <v>6</v>
      </c>
      <c r="BG175" s="40">
        <f t="shared" si="112"/>
        <v>0</v>
      </c>
      <c r="BH175" s="40">
        <f t="shared" si="113"/>
        <v>0</v>
      </c>
      <c r="BI175" s="40">
        <f t="shared" si="114"/>
        <v>0</v>
      </c>
      <c r="BJ175" s="40">
        <f t="shared" si="115"/>
        <v>0</v>
      </c>
      <c r="BK175" s="40">
        <f t="shared" si="116"/>
        <v>0</v>
      </c>
      <c r="BL175" s="40">
        <f t="shared" si="117"/>
        <v>0</v>
      </c>
      <c r="BM175" s="40">
        <f t="shared" si="99"/>
        <v>0</v>
      </c>
      <c r="BN175" s="40">
        <f t="shared" si="118"/>
        <v>10</v>
      </c>
      <c r="BO175" s="40">
        <f t="shared" si="119"/>
        <v>1</v>
      </c>
      <c r="BP175" s="40">
        <f t="shared" si="120"/>
        <v>3</v>
      </c>
      <c r="BQ175" s="40">
        <f t="shared" si="121"/>
        <v>6</v>
      </c>
      <c r="BR175" s="40">
        <f t="shared" si="122"/>
        <v>18</v>
      </c>
      <c r="BS175" s="40">
        <f t="shared" si="123"/>
        <v>33</v>
      </c>
      <c r="BT175" s="40">
        <f t="shared" si="100"/>
        <v>6</v>
      </c>
      <c r="BU175" s="24">
        <f t="shared" si="124"/>
        <v>0</v>
      </c>
      <c r="BV175" s="24">
        <f t="shared" si="125"/>
        <v>0</v>
      </c>
      <c r="BW175" s="24">
        <f t="shared" si="126"/>
        <v>0</v>
      </c>
      <c r="BX175" s="24">
        <f t="shared" si="127"/>
        <v>0</v>
      </c>
      <c r="BY175" s="24">
        <f t="shared" si="128"/>
        <v>2</v>
      </c>
      <c r="BZ175" s="24">
        <f t="shared" si="129"/>
        <v>4</v>
      </c>
      <c r="CA175" s="24">
        <f t="shared" si="130"/>
        <v>1</v>
      </c>
      <c r="CB175" s="24">
        <f t="shared" si="131"/>
        <v>3</v>
      </c>
      <c r="CC175" s="43">
        <f t="shared" si="101"/>
        <v>1.8</v>
      </c>
      <c r="CD175" s="43">
        <f t="shared" si="102"/>
        <v>3.3</v>
      </c>
      <c r="CE175" s="100">
        <f t="shared" si="103"/>
        <v>2.0000000000000018E-2</v>
      </c>
      <c r="CF175" s="106" t="str">
        <f t="shared" si="104"/>
        <v>Н</v>
      </c>
      <c r="CG175" s="29">
        <f t="shared" si="105"/>
        <v>2</v>
      </c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</row>
    <row r="176" spans="1:166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</row>
    <row r="177" spans="1:166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</row>
    <row r="178" spans="1:166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</row>
    <row r="179" spans="1:166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</row>
    <row r="180" spans="1:166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</row>
    <row r="181" spans="1:166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</row>
    <row r="182" spans="1:166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</row>
    <row r="183" spans="1:166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  <c r="CO183" s="24"/>
      <c r="CP183" s="24"/>
      <c r="CQ183" s="24"/>
      <c r="CR183" s="24"/>
      <c r="CS183" s="24"/>
      <c r="CT183" s="24"/>
      <c r="CU183" s="24"/>
      <c r="CV183" s="24"/>
      <c r="CW183" s="24"/>
      <c r="CX183" s="24"/>
      <c r="CY183" s="24"/>
      <c r="CZ183" s="24"/>
      <c r="DA183" s="24"/>
      <c r="DB183" s="24"/>
      <c r="DC183" s="24"/>
      <c r="DD183" s="24"/>
      <c r="DE183" s="24"/>
      <c r="DF183" s="24"/>
      <c r="DG183" s="24"/>
      <c r="DH183" s="24"/>
      <c r="DI183" s="24"/>
      <c r="DJ183" s="24"/>
      <c r="DK183" s="24"/>
      <c r="DL183" s="24"/>
      <c r="DM183" s="24"/>
      <c r="DN183" s="24"/>
      <c r="DO183" s="24"/>
      <c r="DP183" s="24"/>
      <c r="DQ183" s="24"/>
      <c r="DR183" s="24"/>
      <c r="DS183" s="24"/>
      <c r="DT183" s="24"/>
      <c r="DU183" s="24"/>
      <c r="DV183" s="24"/>
      <c r="DW183" s="24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</row>
    <row r="184" spans="1:166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  <c r="CO184" s="24"/>
      <c r="CP184" s="24"/>
      <c r="CQ184" s="24"/>
      <c r="CR184" s="24"/>
      <c r="CS184" s="24"/>
      <c r="CT184" s="24"/>
      <c r="CU184" s="24"/>
      <c r="CV184" s="24"/>
      <c r="CW184" s="24"/>
      <c r="CX184" s="24"/>
      <c r="CY184" s="24"/>
      <c r="CZ184" s="24"/>
      <c r="DA184" s="24"/>
      <c r="DB184" s="24"/>
      <c r="DC184" s="24"/>
      <c r="DD184" s="24"/>
      <c r="DE184" s="24"/>
      <c r="DF184" s="24"/>
      <c r="DG184" s="24"/>
      <c r="DH184" s="24"/>
      <c r="DI184" s="24"/>
      <c r="DJ184" s="24"/>
      <c r="DK184" s="24"/>
      <c r="DL184" s="24"/>
      <c r="DM184" s="24"/>
      <c r="DN184" s="24"/>
      <c r="DO184" s="24"/>
      <c r="DP184" s="24"/>
      <c r="DQ184" s="24"/>
      <c r="DR184" s="24"/>
      <c r="DS184" s="24"/>
      <c r="DT184" s="24"/>
      <c r="DU184" s="24"/>
      <c r="DV184" s="24"/>
      <c r="DW184" s="24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</row>
    <row r="185" spans="1:166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  <c r="CO185" s="24"/>
      <c r="CP185" s="24"/>
      <c r="CQ185" s="24"/>
      <c r="CR185" s="24"/>
      <c r="CS185" s="24"/>
      <c r="CT185" s="24"/>
      <c r="CU185" s="24"/>
      <c r="CV185" s="24"/>
      <c r="CW185" s="24"/>
      <c r="CX185" s="24"/>
      <c r="CY185" s="24"/>
      <c r="CZ185" s="24"/>
      <c r="DA185" s="24"/>
      <c r="DB185" s="24"/>
      <c r="DC185" s="24"/>
      <c r="DD185" s="24"/>
      <c r="DE185" s="24"/>
      <c r="DF185" s="24"/>
      <c r="DG185" s="24"/>
      <c r="DH185" s="24"/>
      <c r="DI185" s="24"/>
      <c r="DJ185" s="24"/>
      <c r="DK185" s="24"/>
      <c r="DL185" s="24"/>
      <c r="DM185" s="24"/>
      <c r="DN185" s="24"/>
      <c r="DO185" s="24"/>
      <c r="DP185" s="24"/>
      <c r="DQ185" s="24"/>
      <c r="DR185" s="24"/>
      <c r="DS185" s="24"/>
      <c r="DT185" s="24"/>
      <c r="DU185" s="24"/>
      <c r="DV185" s="24"/>
      <c r="DW185" s="24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</row>
    <row r="186" spans="1:166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  <c r="CO186" s="24"/>
      <c r="CP186" s="24"/>
      <c r="CQ186" s="24"/>
      <c r="CR186" s="24"/>
      <c r="CS186" s="24"/>
      <c r="CT186" s="24"/>
      <c r="CU186" s="24"/>
      <c r="CV186" s="24"/>
      <c r="CW186" s="24"/>
      <c r="CX186" s="24"/>
      <c r="CY186" s="24"/>
      <c r="CZ186" s="24"/>
      <c r="DA186" s="24"/>
      <c r="DB186" s="24"/>
      <c r="DC186" s="24"/>
      <c r="DD186" s="24"/>
      <c r="DE186" s="24"/>
      <c r="DF186" s="24"/>
      <c r="DG186" s="24"/>
      <c r="DH186" s="24"/>
      <c r="DI186" s="24"/>
      <c r="DJ186" s="24"/>
      <c r="DK186" s="24"/>
      <c r="DL186" s="24"/>
      <c r="DM186" s="24"/>
      <c r="DN186" s="24"/>
      <c r="DO186" s="24"/>
      <c r="DP186" s="24"/>
      <c r="DQ186" s="24"/>
      <c r="DR186" s="24"/>
      <c r="DS186" s="24"/>
      <c r="DT186" s="24"/>
      <c r="DU186" s="24"/>
      <c r="DV186" s="24"/>
      <c r="DW186" s="24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</row>
    <row r="187" spans="1:166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  <c r="CO187" s="24"/>
      <c r="CP187" s="24"/>
      <c r="CQ187" s="24"/>
      <c r="CR187" s="24"/>
      <c r="CS187" s="24"/>
      <c r="CT187" s="24"/>
      <c r="CU187" s="24"/>
      <c r="CV187" s="24"/>
      <c r="CW187" s="24"/>
      <c r="CX187" s="24"/>
      <c r="CY187" s="24"/>
      <c r="CZ187" s="24"/>
      <c r="DA187" s="24"/>
      <c r="DB187" s="24"/>
      <c r="DC187" s="24"/>
      <c r="DD187" s="24"/>
      <c r="DE187" s="24"/>
      <c r="DF187" s="24"/>
      <c r="DG187" s="24"/>
      <c r="DH187" s="24"/>
      <c r="DI187" s="24"/>
      <c r="DJ187" s="24"/>
      <c r="DK187" s="24"/>
      <c r="DL187" s="24"/>
      <c r="DM187" s="24"/>
      <c r="DN187" s="24"/>
      <c r="DO187" s="24"/>
      <c r="DP187" s="24"/>
      <c r="DQ187" s="24"/>
      <c r="DR187" s="24"/>
      <c r="DS187" s="24"/>
      <c r="DT187" s="24"/>
      <c r="DU187" s="24"/>
      <c r="DV187" s="24"/>
      <c r="DW187" s="24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</row>
    <row r="188" spans="1:166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  <c r="CO188" s="24"/>
      <c r="CP188" s="24"/>
      <c r="CQ188" s="24"/>
      <c r="CR188" s="24"/>
      <c r="CS188" s="24"/>
      <c r="CT188" s="24"/>
      <c r="CU188" s="24"/>
      <c r="CV188" s="24"/>
      <c r="CW188" s="24"/>
      <c r="CX188" s="24"/>
      <c r="CY188" s="24"/>
      <c r="CZ188" s="24"/>
      <c r="DA188" s="24"/>
      <c r="DB188" s="24"/>
      <c r="DC188" s="24"/>
      <c r="DD188" s="24"/>
      <c r="DE188" s="24"/>
      <c r="DF188" s="24"/>
      <c r="DG188" s="24"/>
      <c r="DH188" s="24"/>
      <c r="DI188" s="24"/>
      <c r="DJ188" s="24"/>
      <c r="DK188" s="24"/>
      <c r="DL188" s="24"/>
      <c r="DM188" s="24"/>
      <c r="DN188" s="24"/>
      <c r="DO188" s="24"/>
      <c r="DP188" s="24"/>
      <c r="DQ188" s="24"/>
      <c r="DR188" s="24"/>
      <c r="DS188" s="24"/>
      <c r="DT188" s="24"/>
      <c r="DU188" s="24"/>
      <c r="DV188" s="24"/>
      <c r="DW188" s="24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</row>
    <row r="189" spans="1:166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  <c r="BC189" s="2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  <c r="CO189" s="24"/>
      <c r="CP189" s="24"/>
      <c r="CQ189" s="24"/>
      <c r="CR189" s="24"/>
      <c r="CS189" s="24"/>
      <c r="CT189" s="24"/>
      <c r="CU189" s="24"/>
      <c r="CV189" s="24"/>
      <c r="CW189" s="24"/>
      <c r="CX189" s="24"/>
      <c r="CY189" s="24"/>
      <c r="CZ189" s="24"/>
      <c r="DA189" s="24"/>
      <c r="DB189" s="24"/>
      <c r="DC189" s="24"/>
      <c r="DD189" s="24"/>
      <c r="DE189" s="24"/>
      <c r="DF189" s="24"/>
      <c r="DG189" s="24"/>
      <c r="DH189" s="24"/>
      <c r="DI189" s="24"/>
      <c r="DJ189" s="24"/>
      <c r="DK189" s="24"/>
      <c r="DL189" s="24"/>
      <c r="DM189" s="24"/>
      <c r="DN189" s="24"/>
      <c r="DO189" s="24"/>
      <c r="DP189" s="24"/>
      <c r="DQ189" s="24"/>
      <c r="DR189" s="24"/>
      <c r="DS189" s="24"/>
      <c r="DT189" s="24"/>
      <c r="DU189" s="24"/>
      <c r="DV189" s="24"/>
      <c r="DW189" s="24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</row>
    <row r="190" spans="1:166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  <c r="CO190" s="24"/>
      <c r="CP190" s="24"/>
      <c r="CQ190" s="24"/>
      <c r="CR190" s="24"/>
      <c r="CS190" s="24"/>
      <c r="CT190" s="24"/>
      <c r="CU190" s="24"/>
      <c r="CV190" s="24"/>
      <c r="CW190" s="24"/>
      <c r="CX190" s="24"/>
      <c r="CY190" s="24"/>
      <c r="CZ190" s="24"/>
      <c r="DA190" s="24"/>
      <c r="DB190" s="24"/>
      <c r="DC190" s="24"/>
      <c r="DD190" s="24"/>
      <c r="DE190" s="24"/>
      <c r="DF190" s="24"/>
      <c r="DG190" s="24"/>
      <c r="DH190" s="24"/>
      <c r="DI190" s="24"/>
      <c r="DJ190" s="24"/>
      <c r="DK190" s="24"/>
      <c r="DL190" s="24"/>
      <c r="DM190" s="24"/>
      <c r="DN190" s="24"/>
      <c r="DO190" s="24"/>
      <c r="DP190" s="24"/>
      <c r="DQ190" s="24"/>
      <c r="DR190" s="24"/>
      <c r="DS190" s="24"/>
      <c r="DT190" s="24"/>
      <c r="DU190" s="24"/>
      <c r="DV190" s="24"/>
      <c r="DW190" s="24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</row>
    <row r="191" spans="1:166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  <c r="BC191" s="2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  <c r="CO191" s="24"/>
      <c r="CP191" s="24"/>
      <c r="CQ191" s="24"/>
      <c r="CR191" s="24"/>
      <c r="CS191" s="24"/>
      <c r="CT191" s="24"/>
      <c r="CU191" s="24"/>
      <c r="CV191" s="24"/>
      <c r="CW191" s="24"/>
      <c r="CX191" s="24"/>
      <c r="CY191" s="24"/>
      <c r="CZ191" s="24"/>
      <c r="DA191" s="24"/>
      <c r="DB191" s="24"/>
      <c r="DC191" s="24"/>
      <c r="DD191" s="24"/>
      <c r="DE191" s="24"/>
      <c r="DF191" s="24"/>
      <c r="DG191" s="24"/>
      <c r="DH191" s="24"/>
      <c r="DI191" s="24"/>
      <c r="DJ191" s="24"/>
      <c r="DK191" s="24"/>
      <c r="DL191" s="24"/>
      <c r="DM191" s="24"/>
      <c r="DN191" s="24"/>
      <c r="DO191" s="24"/>
      <c r="DP191" s="24"/>
      <c r="DQ191" s="24"/>
      <c r="DR191" s="24"/>
      <c r="DS191" s="24"/>
      <c r="DT191" s="24"/>
      <c r="DU191" s="24"/>
      <c r="DV191" s="24"/>
      <c r="DW191" s="24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</row>
    <row r="192" spans="1:166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  <c r="CO192" s="24"/>
      <c r="CP192" s="24"/>
      <c r="CQ192" s="24"/>
      <c r="CR192" s="24"/>
      <c r="CS192" s="24"/>
      <c r="CT192" s="24"/>
      <c r="CU192" s="24"/>
      <c r="CV192" s="24"/>
      <c r="CW192" s="24"/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</row>
    <row r="193" spans="1:166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  <c r="CO193" s="24"/>
      <c r="CP193" s="24"/>
      <c r="CQ193" s="24"/>
      <c r="CR193" s="24"/>
      <c r="CS193" s="24"/>
      <c r="CT193" s="24"/>
      <c r="CU193" s="24"/>
      <c r="CV193" s="24"/>
      <c r="CW193" s="24"/>
      <c r="CX193" s="24"/>
      <c r="CY193" s="24"/>
      <c r="CZ193" s="24"/>
      <c r="DA193" s="24"/>
      <c r="DB193" s="24"/>
      <c r="DC193" s="24"/>
      <c r="DD193" s="24"/>
      <c r="DE193" s="24"/>
      <c r="DF193" s="24"/>
      <c r="DG193" s="24"/>
      <c r="DH193" s="24"/>
      <c r="DI193" s="24"/>
      <c r="DJ193" s="24"/>
      <c r="DK193" s="24"/>
      <c r="DL193" s="24"/>
      <c r="DM193" s="24"/>
      <c r="DN193" s="24"/>
      <c r="DO193" s="24"/>
      <c r="DP193" s="24"/>
      <c r="DQ193" s="24"/>
      <c r="DR193" s="24"/>
      <c r="DS193" s="24"/>
      <c r="DT193" s="24"/>
      <c r="DU193" s="24"/>
      <c r="DV193" s="24"/>
      <c r="DW193" s="24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</row>
    <row r="194" spans="1:166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</row>
    <row r="195" spans="1:166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  <c r="CO195" s="24"/>
      <c r="CP195" s="24"/>
      <c r="CQ195" s="24"/>
      <c r="CR195" s="24"/>
      <c r="CS195" s="24"/>
      <c r="CT195" s="24"/>
      <c r="CU195" s="24"/>
      <c r="CV195" s="24"/>
      <c r="CW195" s="24"/>
      <c r="CX195" s="24"/>
      <c r="CY195" s="24"/>
      <c r="CZ195" s="24"/>
      <c r="DA195" s="24"/>
      <c r="DB195" s="24"/>
      <c r="DC195" s="24"/>
      <c r="DD195" s="24"/>
      <c r="DE195" s="24"/>
      <c r="DF195" s="24"/>
      <c r="DG195" s="24"/>
      <c r="DH195" s="24"/>
      <c r="DI195" s="24"/>
      <c r="DJ195" s="24"/>
      <c r="DK195" s="24"/>
      <c r="DL195" s="24"/>
      <c r="DM195" s="24"/>
      <c r="DN195" s="24"/>
      <c r="DO195" s="24"/>
      <c r="DP195" s="24"/>
      <c r="DQ195" s="24"/>
      <c r="DR195" s="24"/>
      <c r="DS195" s="24"/>
      <c r="DT195" s="24"/>
      <c r="DU195" s="24"/>
      <c r="DV195" s="24"/>
      <c r="DW195" s="24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</row>
    <row r="196" spans="1:166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</row>
    <row r="197" spans="1:166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  <c r="CO197" s="24"/>
      <c r="CP197" s="24"/>
      <c r="CQ197" s="24"/>
      <c r="CR197" s="24"/>
      <c r="CS197" s="24"/>
      <c r="CT197" s="24"/>
      <c r="CU197" s="24"/>
      <c r="CV197" s="24"/>
      <c r="CW197" s="24"/>
      <c r="CX197" s="24"/>
      <c r="CY197" s="24"/>
      <c r="CZ197" s="24"/>
      <c r="DA197" s="24"/>
      <c r="DB197" s="24"/>
      <c r="DC197" s="24"/>
      <c r="DD197" s="24"/>
      <c r="DE197" s="24"/>
      <c r="DF197" s="24"/>
      <c r="DG197" s="24"/>
      <c r="DH197" s="24"/>
      <c r="DI197" s="24"/>
      <c r="DJ197" s="24"/>
      <c r="DK197" s="24"/>
      <c r="DL197" s="24"/>
      <c r="DM197" s="24"/>
      <c r="DN197" s="24"/>
      <c r="DO197" s="24"/>
      <c r="DP197" s="24"/>
      <c r="DQ197" s="24"/>
      <c r="DR197" s="24"/>
      <c r="DS197" s="24"/>
      <c r="DT197" s="24"/>
      <c r="DU197" s="24"/>
      <c r="DV197" s="24"/>
      <c r="DW197" s="24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</row>
    <row r="198" spans="1:166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</row>
    <row r="199" spans="1:166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  <c r="CO199" s="24"/>
      <c r="CP199" s="24"/>
      <c r="CQ199" s="24"/>
      <c r="CR199" s="24"/>
      <c r="CS199" s="24"/>
      <c r="CT199" s="24"/>
      <c r="CU199" s="24"/>
      <c r="CV199" s="24"/>
      <c r="CW199" s="24"/>
      <c r="CX199" s="24"/>
      <c r="CY199" s="24"/>
      <c r="CZ199" s="24"/>
      <c r="DA199" s="24"/>
      <c r="DB199" s="24"/>
      <c r="DC199" s="24"/>
      <c r="DD199" s="24"/>
      <c r="DE199" s="24"/>
      <c r="DF199" s="24"/>
      <c r="DG199" s="24"/>
      <c r="DH199" s="24"/>
      <c r="DI199" s="24"/>
      <c r="DJ199" s="24"/>
      <c r="DK199" s="24"/>
      <c r="DL199" s="24"/>
      <c r="DM199" s="24"/>
      <c r="DN199" s="24"/>
      <c r="DO199" s="24"/>
      <c r="DP199" s="24"/>
      <c r="DQ199" s="24"/>
      <c r="DR199" s="24"/>
      <c r="DS199" s="24"/>
      <c r="DT199" s="24"/>
      <c r="DU199" s="24"/>
      <c r="DV199" s="24"/>
      <c r="DW199" s="24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</row>
    <row r="200" spans="1:166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  <c r="CO200" s="24"/>
      <c r="CP200" s="24"/>
      <c r="CQ200" s="24"/>
      <c r="CR200" s="24"/>
      <c r="CS200" s="24"/>
      <c r="CT200" s="24"/>
      <c r="CU200" s="24"/>
      <c r="CV200" s="24"/>
      <c r="CW200" s="24"/>
      <c r="CX200" s="24"/>
      <c r="CY200" s="24"/>
      <c r="CZ200" s="24"/>
      <c r="DA200" s="24"/>
      <c r="DB200" s="24"/>
      <c r="DC200" s="24"/>
      <c r="DD200" s="24"/>
      <c r="DE200" s="24"/>
      <c r="DF200" s="24"/>
      <c r="DG200" s="24"/>
      <c r="DH200" s="24"/>
      <c r="DI200" s="24"/>
      <c r="DJ200" s="24"/>
      <c r="DK200" s="24"/>
      <c r="DL200" s="24"/>
      <c r="DM200" s="24"/>
      <c r="DN200" s="24"/>
      <c r="DO200" s="24"/>
      <c r="DP200" s="24"/>
      <c r="DQ200" s="24"/>
      <c r="DR200" s="24"/>
      <c r="DS200" s="24"/>
      <c r="DT200" s="24"/>
      <c r="DU200" s="24"/>
      <c r="DV200" s="24"/>
      <c r="DW200" s="24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</row>
    <row r="201" spans="1:166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  <c r="CO201" s="24"/>
      <c r="CP201" s="24"/>
      <c r="CQ201" s="24"/>
      <c r="CR201" s="24"/>
      <c r="CS201" s="24"/>
      <c r="CT201" s="24"/>
      <c r="CU201" s="24"/>
      <c r="CV201" s="24"/>
      <c r="CW201" s="24"/>
      <c r="CX201" s="24"/>
      <c r="CY201" s="24"/>
      <c r="CZ201" s="24"/>
      <c r="DA201" s="24"/>
      <c r="DB201" s="24"/>
      <c r="DC201" s="24"/>
      <c r="DD201" s="24"/>
      <c r="DE201" s="24"/>
      <c r="DF201" s="24"/>
      <c r="DG201" s="24"/>
      <c r="DH201" s="24"/>
      <c r="DI201" s="24"/>
      <c r="DJ201" s="24"/>
      <c r="DK201" s="24"/>
      <c r="DL201" s="24"/>
      <c r="DM201" s="24"/>
      <c r="DN201" s="24"/>
      <c r="DO201" s="24"/>
      <c r="DP201" s="24"/>
      <c r="DQ201" s="24"/>
      <c r="DR201" s="24"/>
      <c r="DS201" s="24"/>
      <c r="DT201" s="24"/>
      <c r="DU201" s="24"/>
      <c r="DV201" s="24"/>
      <c r="DW201" s="24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</row>
    <row r="202" spans="1:166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  <c r="CO202" s="24"/>
      <c r="CP202" s="24"/>
      <c r="CQ202" s="24"/>
      <c r="CR202" s="24"/>
      <c r="CS202" s="24"/>
      <c r="CT202" s="24"/>
      <c r="CU202" s="24"/>
      <c r="CV202" s="24"/>
      <c r="CW202" s="24"/>
      <c r="CX202" s="24"/>
      <c r="CY202" s="24"/>
      <c r="CZ202" s="24"/>
      <c r="DA202" s="24"/>
      <c r="DB202" s="24"/>
      <c r="DC202" s="24"/>
      <c r="DD202" s="24"/>
      <c r="DE202" s="24"/>
      <c r="DF202" s="24"/>
      <c r="DG202" s="24"/>
      <c r="DH202" s="24"/>
      <c r="DI202" s="24"/>
      <c r="DJ202" s="24"/>
      <c r="DK202" s="24"/>
      <c r="DL202" s="24"/>
      <c r="DM202" s="24"/>
      <c r="DN202" s="24"/>
      <c r="DO202" s="24"/>
      <c r="DP202" s="24"/>
      <c r="DQ202" s="24"/>
      <c r="DR202" s="24"/>
      <c r="DS202" s="24"/>
      <c r="DT202" s="24"/>
      <c r="DU202" s="24"/>
      <c r="DV202" s="24"/>
      <c r="DW202" s="24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</row>
    <row r="203" spans="1:166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  <c r="CO203" s="24"/>
      <c r="CP203" s="24"/>
      <c r="CQ203" s="24"/>
      <c r="CR203" s="24"/>
      <c r="CS203" s="24"/>
      <c r="CT203" s="24"/>
      <c r="CU203" s="24"/>
      <c r="CV203" s="24"/>
      <c r="CW203" s="24"/>
      <c r="CX203" s="24"/>
      <c r="CY203" s="24"/>
      <c r="CZ203" s="24"/>
      <c r="DA203" s="24"/>
      <c r="DB203" s="24"/>
      <c r="DC203" s="24"/>
      <c r="DD203" s="24"/>
      <c r="DE203" s="24"/>
      <c r="DF203" s="24"/>
      <c r="DG203" s="24"/>
      <c r="DH203" s="24"/>
      <c r="DI203" s="24"/>
      <c r="DJ203" s="24"/>
      <c r="DK203" s="24"/>
      <c r="DL203" s="24"/>
      <c r="DM203" s="24"/>
      <c r="DN203" s="24"/>
      <c r="DO203" s="24"/>
      <c r="DP203" s="24"/>
      <c r="DQ203" s="24"/>
      <c r="DR203" s="24"/>
      <c r="DS203" s="24"/>
      <c r="DT203" s="24"/>
      <c r="DU203" s="24"/>
      <c r="DV203" s="24"/>
      <c r="DW203" s="24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</row>
    <row r="204" spans="1:166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</row>
    <row r="205" spans="1:166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  <c r="CO205" s="24"/>
      <c r="CP205" s="24"/>
      <c r="CQ205" s="24"/>
      <c r="CR205" s="24"/>
      <c r="CS205" s="24"/>
      <c r="CT205" s="24"/>
      <c r="CU205" s="24"/>
      <c r="CV205" s="24"/>
      <c r="CW205" s="24"/>
      <c r="CX205" s="24"/>
      <c r="CY205" s="24"/>
      <c r="CZ205" s="24"/>
      <c r="DA205" s="24"/>
      <c r="DB205" s="24"/>
      <c r="DC205" s="24"/>
      <c r="DD205" s="24"/>
      <c r="DE205" s="24"/>
      <c r="DF205" s="24"/>
      <c r="DG205" s="24"/>
      <c r="DH205" s="24"/>
      <c r="DI205" s="24"/>
      <c r="DJ205" s="24"/>
      <c r="DK205" s="24"/>
      <c r="DL205" s="24"/>
      <c r="DM205" s="24"/>
      <c r="DN205" s="24"/>
      <c r="DO205" s="24"/>
      <c r="DP205" s="24"/>
      <c r="DQ205" s="24"/>
      <c r="DR205" s="24"/>
      <c r="DS205" s="24"/>
      <c r="DT205" s="24"/>
      <c r="DU205" s="24"/>
      <c r="DV205" s="24"/>
      <c r="DW205" s="24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</row>
    <row r="206" spans="1:166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  <c r="CO206" s="24"/>
      <c r="CP206" s="24"/>
      <c r="CQ206" s="24"/>
      <c r="CR206" s="24"/>
      <c r="CS206" s="24"/>
      <c r="CT206" s="24"/>
      <c r="CU206" s="24"/>
      <c r="CV206" s="24"/>
      <c r="CW206" s="24"/>
      <c r="CX206" s="24"/>
      <c r="CY206" s="24"/>
      <c r="CZ206" s="24"/>
      <c r="DA206" s="24"/>
      <c r="DB206" s="24"/>
      <c r="DC206" s="24"/>
      <c r="DD206" s="24"/>
      <c r="DE206" s="24"/>
      <c r="DF206" s="24"/>
      <c r="DG206" s="24"/>
      <c r="DH206" s="24"/>
      <c r="DI206" s="24"/>
      <c r="DJ206" s="24"/>
      <c r="DK206" s="24"/>
      <c r="DL206" s="24"/>
      <c r="DM206" s="24"/>
      <c r="DN206" s="24"/>
      <c r="DO206" s="24"/>
      <c r="DP206" s="24"/>
      <c r="DQ206" s="24"/>
      <c r="DR206" s="24"/>
      <c r="DS206" s="24"/>
      <c r="DT206" s="24"/>
      <c r="DU206" s="24"/>
      <c r="DV206" s="24"/>
      <c r="DW206" s="24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</row>
    <row r="207" spans="1:166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  <c r="CO207" s="24"/>
      <c r="CP207" s="24"/>
      <c r="CQ207" s="24"/>
      <c r="CR207" s="24"/>
      <c r="CS207" s="24"/>
      <c r="CT207" s="24"/>
      <c r="CU207" s="24"/>
      <c r="CV207" s="24"/>
      <c r="CW207" s="24"/>
      <c r="CX207" s="24"/>
      <c r="CY207" s="24"/>
      <c r="CZ207" s="24"/>
      <c r="DA207" s="24"/>
      <c r="DB207" s="24"/>
      <c r="DC207" s="24"/>
      <c r="DD207" s="24"/>
      <c r="DE207" s="24"/>
      <c r="DF207" s="24"/>
      <c r="DG207" s="24"/>
      <c r="DH207" s="24"/>
      <c r="DI207" s="24"/>
      <c r="DJ207" s="24"/>
      <c r="DK207" s="24"/>
      <c r="DL207" s="24"/>
      <c r="DM207" s="24"/>
      <c r="DN207" s="24"/>
      <c r="DO207" s="24"/>
      <c r="DP207" s="24"/>
      <c r="DQ207" s="24"/>
      <c r="DR207" s="24"/>
      <c r="DS207" s="24"/>
      <c r="DT207" s="24"/>
      <c r="DU207" s="24"/>
      <c r="DV207" s="24"/>
      <c r="DW207" s="24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</row>
    <row r="208" spans="1:166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  <c r="CO208" s="24"/>
      <c r="CP208" s="24"/>
      <c r="CQ208" s="24"/>
      <c r="CR208" s="24"/>
      <c r="CS208" s="24"/>
      <c r="CT208" s="24"/>
      <c r="CU208" s="24"/>
      <c r="CV208" s="24"/>
      <c r="CW208" s="24"/>
      <c r="CX208" s="24"/>
      <c r="CY208" s="24"/>
      <c r="CZ208" s="24"/>
      <c r="DA208" s="24"/>
      <c r="DB208" s="24"/>
      <c r="DC208" s="24"/>
      <c r="DD208" s="24"/>
      <c r="DE208" s="24"/>
      <c r="DF208" s="24"/>
      <c r="DG208" s="24"/>
      <c r="DH208" s="24"/>
      <c r="DI208" s="24"/>
      <c r="DJ208" s="24"/>
      <c r="DK208" s="24"/>
      <c r="DL208" s="24"/>
      <c r="DM208" s="24"/>
      <c r="DN208" s="24"/>
      <c r="DO208" s="24"/>
      <c r="DP208" s="24"/>
      <c r="DQ208" s="24"/>
      <c r="DR208" s="24"/>
      <c r="DS208" s="24"/>
      <c r="DT208" s="24"/>
      <c r="DU208" s="24"/>
      <c r="DV208" s="24"/>
      <c r="DW208" s="24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</row>
    <row r="209" spans="1:166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  <c r="CO209" s="24"/>
      <c r="CP209" s="24"/>
      <c r="CQ209" s="24"/>
      <c r="CR209" s="24"/>
      <c r="CS209" s="24"/>
      <c r="CT209" s="24"/>
      <c r="CU209" s="24"/>
      <c r="CV209" s="24"/>
      <c r="CW209" s="24"/>
      <c r="CX209" s="24"/>
      <c r="CY209" s="24"/>
      <c r="CZ209" s="24"/>
      <c r="DA209" s="24"/>
      <c r="DB209" s="24"/>
      <c r="DC209" s="24"/>
      <c r="DD209" s="24"/>
      <c r="DE209" s="24"/>
      <c r="DF209" s="24"/>
      <c r="DG209" s="24"/>
      <c r="DH209" s="24"/>
      <c r="DI209" s="24"/>
      <c r="DJ209" s="24"/>
      <c r="DK209" s="24"/>
      <c r="DL209" s="24"/>
      <c r="DM209" s="24"/>
      <c r="DN209" s="24"/>
      <c r="DO209" s="24"/>
      <c r="DP209" s="24"/>
      <c r="DQ209" s="24"/>
      <c r="DR209" s="24"/>
      <c r="DS209" s="24"/>
      <c r="DT209" s="24"/>
      <c r="DU209" s="24"/>
      <c r="DV209" s="24"/>
      <c r="DW209" s="24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</row>
    <row r="210" spans="1:166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  <c r="CO210" s="24"/>
      <c r="CP210" s="24"/>
      <c r="CQ210" s="24"/>
      <c r="CR210" s="24"/>
      <c r="CS210" s="24"/>
      <c r="CT210" s="24"/>
      <c r="CU210" s="24"/>
      <c r="CV210" s="24"/>
      <c r="CW210" s="24"/>
      <c r="CX210" s="24"/>
      <c r="CY210" s="24"/>
      <c r="CZ210" s="24"/>
      <c r="DA210" s="24"/>
      <c r="DB210" s="24"/>
      <c r="DC210" s="24"/>
      <c r="DD210" s="24"/>
      <c r="DE210" s="24"/>
      <c r="DF210" s="24"/>
      <c r="DG210" s="24"/>
      <c r="DH210" s="24"/>
      <c r="DI210" s="24"/>
      <c r="DJ210" s="24"/>
      <c r="DK210" s="24"/>
      <c r="DL210" s="24"/>
      <c r="DM210" s="24"/>
      <c r="DN210" s="24"/>
      <c r="DO210" s="24"/>
      <c r="DP210" s="24"/>
      <c r="DQ210" s="24"/>
      <c r="DR210" s="24"/>
      <c r="DS210" s="24"/>
      <c r="DT210" s="24"/>
      <c r="DU210" s="24"/>
      <c r="DV210" s="24"/>
      <c r="DW210" s="24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</row>
    <row r="211" spans="1:166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  <c r="CO211" s="24"/>
      <c r="CP211" s="24"/>
      <c r="CQ211" s="24"/>
      <c r="CR211" s="24"/>
      <c r="CS211" s="24"/>
      <c r="CT211" s="24"/>
      <c r="CU211" s="24"/>
      <c r="CV211" s="24"/>
      <c r="CW211" s="24"/>
      <c r="CX211" s="24"/>
      <c r="CY211" s="24"/>
      <c r="CZ211" s="24"/>
      <c r="DA211" s="24"/>
      <c r="DB211" s="24"/>
      <c r="DC211" s="24"/>
      <c r="DD211" s="24"/>
      <c r="DE211" s="24"/>
      <c r="DF211" s="24"/>
      <c r="DG211" s="24"/>
      <c r="DH211" s="24"/>
      <c r="DI211" s="24"/>
      <c r="DJ211" s="24"/>
      <c r="DK211" s="24"/>
      <c r="DL211" s="24"/>
      <c r="DM211" s="24"/>
      <c r="DN211" s="24"/>
      <c r="DO211" s="24"/>
      <c r="DP211" s="24"/>
      <c r="DQ211" s="24"/>
      <c r="DR211" s="24"/>
      <c r="DS211" s="24"/>
      <c r="DT211" s="24"/>
      <c r="DU211" s="24"/>
      <c r="DV211" s="24"/>
      <c r="DW211" s="24"/>
      <c r="DX211" s="24"/>
      <c r="DY211" s="24"/>
      <c r="DZ211" s="24"/>
      <c r="EA211" s="24"/>
      <c r="EB211" s="24"/>
      <c r="EC211" s="24"/>
      <c r="ED211" s="24"/>
      <c r="EE211" s="24"/>
      <c r="EF211" s="24"/>
      <c r="EG211" s="24"/>
      <c r="EH211" s="24"/>
      <c r="EI211" s="24"/>
      <c r="EJ211" s="24"/>
      <c r="EK211" s="24"/>
      <c r="EL211" s="24"/>
      <c r="EM211" s="24"/>
      <c r="EN211" s="24"/>
      <c r="EO211" s="24"/>
      <c r="EP211" s="24"/>
      <c r="EQ211" s="24"/>
      <c r="ER211" s="24"/>
      <c r="ES211" s="24"/>
      <c r="ET211" s="24"/>
      <c r="EU211" s="24"/>
      <c r="EV211" s="24"/>
      <c r="EW211" s="24"/>
      <c r="EX211" s="24"/>
      <c r="EY211" s="24"/>
      <c r="EZ211" s="24"/>
      <c r="FA211" s="24"/>
      <c r="FB211" s="24"/>
      <c r="FC211" s="24"/>
      <c r="FD211" s="24"/>
      <c r="FE211" s="24"/>
      <c r="FF211" s="24"/>
      <c r="FG211" s="24"/>
      <c r="FH211" s="24"/>
      <c r="FI211" s="24"/>
      <c r="FJ211" s="24"/>
    </row>
    <row r="212" spans="1:166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  <c r="CO212" s="24"/>
      <c r="CP212" s="24"/>
      <c r="CQ212" s="24"/>
      <c r="CR212" s="24"/>
      <c r="CS212" s="24"/>
      <c r="CT212" s="24"/>
      <c r="CU212" s="24"/>
      <c r="CV212" s="24"/>
      <c r="CW212" s="24"/>
      <c r="CX212" s="24"/>
      <c r="CY212" s="24"/>
      <c r="CZ212" s="24"/>
      <c r="DA212" s="24"/>
      <c r="DB212" s="24"/>
      <c r="DC212" s="24"/>
      <c r="DD212" s="24"/>
      <c r="DE212" s="24"/>
      <c r="DF212" s="24"/>
      <c r="DG212" s="24"/>
      <c r="DH212" s="24"/>
      <c r="DI212" s="24"/>
      <c r="DJ212" s="24"/>
      <c r="DK212" s="24"/>
      <c r="DL212" s="24"/>
      <c r="DM212" s="24"/>
      <c r="DN212" s="24"/>
      <c r="DO212" s="24"/>
      <c r="DP212" s="24"/>
      <c r="DQ212" s="24"/>
      <c r="DR212" s="24"/>
      <c r="DS212" s="24"/>
      <c r="DT212" s="24"/>
      <c r="DU212" s="24"/>
      <c r="DV212" s="24"/>
      <c r="DW212" s="24"/>
      <c r="DX212" s="24"/>
      <c r="DY212" s="24"/>
      <c r="DZ212" s="24"/>
      <c r="EA212" s="24"/>
      <c r="EB212" s="24"/>
      <c r="EC212" s="24"/>
      <c r="ED212" s="24"/>
      <c r="EE212" s="24"/>
      <c r="EF212" s="24"/>
      <c r="EG212" s="24"/>
      <c r="EH212" s="24"/>
      <c r="EI212" s="24"/>
      <c r="EJ212" s="24"/>
      <c r="EK212" s="24"/>
      <c r="EL212" s="24"/>
      <c r="EM212" s="24"/>
      <c r="EN212" s="24"/>
      <c r="EO212" s="24"/>
      <c r="EP212" s="24"/>
      <c r="EQ212" s="24"/>
      <c r="ER212" s="24"/>
      <c r="ES212" s="24"/>
      <c r="ET212" s="24"/>
      <c r="EU212" s="24"/>
      <c r="EV212" s="24"/>
      <c r="EW212" s="24"/>
      <c r="EX212" s="24"/>
      <c r="EY212" s="24"/>
      <c r="EZ212" s="24"/>
      <c r="FA212" s="24"/>
      <c r="FB212" s="24"/>
      <c r="FC212" s="24"/>
      <c r="FD212" s="24"/>
      <c r="FE212" s="24"/>
      <c r="FF212" s="24"/>
      <c r="FG212" s="24"/>
      <c r="FH212" s="24"/>
      <c r="FI212" s="24"/>
      <c r="FJ212" s="24"/>
    </row>
    <row r="213" spans="1:166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  <c r="CO213" s="24"/>
      <c r="CP213" s="24"/>
      <c r="CQ213" s="24"/>
      <c r="CR213" s="24"/>
      <c r="CS213" s="24"/>
      <c r="CT213" s="24"/>
      <c r="CU213" s="24"/>
      <c r="CV213" s="24"/>
      <c r="CW213" s="24"/>
      <c r="CX213" s="24"/>
      <c r="CY213" s="24"/>
      <c r="CZ213" s="24"/>
      <c r="DA213" s="24"/>
      <c r="DB213" s="24"/>
      <c r="DC213" s="24"/>
      <c r="DD213" s="24"/>
      <c r="DE213" s="24"/>
      <c r="DF213" s="24"/>
      <c r="DG213" s="24"/>
      <c r="DH213" s="24"/>
      <c r="DI213" s="24"/>
      <c r="DJ213" s="24"/>
      <c r="DK213" s="24"/>
      <c r="DL213" s="24"/>
      <c r="DM213" s="24"/>
      <c r="DN213" s="24"/>
      <c r="DO213" s="24"/>
      <c r="DP213" s="24"/>
      <c r="DQ213" s="24"/>
      <c r="DR213" s="24"/>
      <c r="DS213" s="24"/>
      <c r="DT213" s="24"/>
      <c r="DU213" s="24"/>
      <c r="DV213" s="24"/>
      <c r="DW213" s="24"/>
      <c r="DX213" s="24"/>
      <c r="DY213" s="24"/>
      <c r="DZ213" s="24"/>
      <c r="EA213" s="24"/>
      <c r="EB213" s="24"/>
      <c r="EC213" s="24"/>
      <c r="ED213" s="24"/>
      <c r="EE213" s="24"/>
      <c r="EF213" s="24"/>
      <c r="EG213" s="24"/>
      <c r="EH213" s="24"/>
      <c r="EI213" s="24"/>
      <c r="EJ213" s="24"/>
      <c r="EK213" s="24"/>
      <c r="EL213" s="24"/>
      <c r="EM213" s="24"/>
      <c r="EN213" s="24"/>
      <c r="EO213" s="24"/>
      <c r="EP213" s="24"/>
      <c r="EQ213" s="24"/>
      <c r="ER213" s="24"/>
      <c r="ES213" s="24"/>
      <c r="ET213" s="24"/>
      <c r="EU213" s="24"/>
      <c r="EV213" s="24"/>
      <c r="EW213" s="24"/>
      <c r="EX213" s="24"/>
      <c r="EY213" s="24"/>
      <c r="EZ213" s="24"/>
      <c r="FA213" s="24"/>
      <c r="FB213" s="24"/>
      <c r="FC213" s="24"/>
      <c r="FD213" s="24"/>
      <c r="FE213" s="24"/>
      <c r="FF213" s="24"/>
      <c r="FG213" s="24"/>
      <c r="FH213" s="24"/>
      <c r="FI213" s="24"/>
      <c r="FJ213" s="24"/>
    </row>
    <row r="214" spans="1:166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  <c r="FC214" s="24"/>
      <c r="FD214" s="24"/>
      <c r="FE214" s="24"/>
      <c r="FF214" s="24"/>
      <c r="FG214" s="24"/>
      <c r="FH214" s="24"/>
      <c r="FI214" s="24"/>
      <c r="FJ214" s="24"/>
    </row>
    <row r="215" spans="1:166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  <c r="CO215" s="24"/>
      <c r="CP215" s="24"/>
      <c r="CQ215" s="24"/>
      <c r="CR215" s="24"/>
      <c r="CS215" s="24"/>
      <c r="CT215" s="24"/>
      <c r="CU215" s="24"/>
      <c r="CV215" s="24"/>
      <c r="CW215" s="24"/>
      <c r="CX215" s="24"/>
      <c r="CY215" s="24"/>
      <c r="CZ215" s="24"/>
      <c r="DA215" s="24"/>
      <c r="DB215" s="24"/>
      <c r="DC215" s="24"/>
      <c r="DD215" s="24"/>
      <c r="DE215" s="24"/>
      <c r="DF215" s="24"/>
      <c r="DG215" s="24"/>
      <c r="DH215" s="24"/>
      <c r="DI215" s="24"/>
      <c r="DJ215" s="24"/>
      <c r="DK215" s="24"/>
      <c r="DL215" s="24"/>
      <c r="DM215" s="24"/>
      <c r="DN215" s="24"/>
      <c r="DO215" s="24"/>
      <c r="DP215" s="24"/>
      <c r="DQ215" s="24"/>
      <c r="DR215" s="24"/>
      <c r="DS215" s="24"/>
      <c r="DT215" s="24"/>
      <c r="DU215" s="24"/>
      <c r="DV215" s="24"/>
      <c r="DW215" s="24"/>
      <c r="DX215" s="24"/>
      <c r="DY215" s="24"/>
      <c r="DZ215" s="24"/>
      <c r="EA215" s="24"/>
      <c r="EB215" s="24"/>
      <c r="EC215" s="24"/>
      <c r="ED215" s="24"/>
      <c r="EE215" s="24"/>
      <c r="EF215" s="24"/>
      <c r="EG215" s="24"/>
      <c r="EH215" s="24"/>
      <c r="EI215" s="24"/>
      <c r="EJ215" s="24"/>
      <c r="EK215" s="24"/>
      <c r="EL215" s="24"/>
      <c r="EM215" s="24"/>
      <c r="EN215" s="24"/>
      <c r="EO215" s="24"/>
      <c r="EP215" s="24"/>
      <c r="EQ215" s="24"/>
      <c r="ER215" s="24"/>
      <c r="ES215" s="24"/>
      <c r="ET215" s="24"/>
      <c r="EU215" s="24"/>
      <c r="EV215" s="24"/>
      <c r="EW215" s="24"/>
      <c r="EX215" s="24"/>
      <c r="EY215" s="24"/>
      <c r="EZ215" s="24"/>
      <c r="FA215" s="24"/>
      <c r="FB215" s="24"/>
      <c r="FC215" s="24"/>
      <c r="FD215" s="24"/>
      <c r="FE215" s="24"/>
      <c r="FF215" s="24"/>
      <c r="FG215" s="24"/>
      <c r="FH215" s="24"/>
      <c r="FI215" s="24"/>
      <c r="FJ215" s="24"/>
    </row>
    <row r="216" spans="1:166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  <c r="CO216" s="24"/>
      <c r="CP216" s="24"/>
      <c r="CQ216" s="24"/>
      <c r="CR216" s="24"/>
      <c r="CS216" s="24"/>
      <c r="CT216" s="24"/>
      <c r="CU216" s="24"/>
      <c r="CV216" s="24"/>
      <c r="CW216" s="24"/>
      <c r="CX216" s="24"/>
      <c r="CY216" s="24"/>
      <c r="CZ216" s="24"/>
      <c r="DA216" s="24"/>
      <c r="DB216" s="24"/>
      <c r="DC216" s="24"/>
      <c r="DD216" s="24"/>
      <c r="DE216" s="24"/>
      <c r="DF216" s="24"/>
      <c r="DG216" s="24"/>
      <c r="DH216" s="24"/>
      <c r="DI216" s="24"/>
      <c r="DJ216" s="24"/>
      <c r="DK216" s="24"/>
      <c r="DL216" s="24"/>
      <c r="DM216" s="24"/>
      <c r="DN216" s="24"/>
      <c r="DO216" s="24"/>
      <c r="DP216" s="24"/>
      <c r="DQ216" s="24"/>
      <c r="DR216" s="24"/>
      <c r="DS216" s="24"/>
      <c r="DT216" s="24"/>
      <c r="DU216" s="24"/>
      <c r="DV216" s="24"/>
      <c r="DW216" s="24"/>
      <c r="DX216" s="24"/>
      <c r="DY216" s="24"/>
      <c r="DZ216" s="24"/>
      <c r="EA216" s="24"/>
      <c r="EB216" s="24"/>
      <c r="EC216" s="24"/>
      <c r="ED216" s="24"/>
      <c r="EE216" s="24"/>
      <c r="EF216" s="24"/>
      <c r="EG216" s="24"/>
      <c r="EH216" s="24"/>
      <c r="EI216" s="24"/>
      <c r="EJ216" s="24"/>
      <c r="EK216" s="24"/>
      <c r="EL216" s="24"/>
      <c r="EM216" s="24"/>
      <c r="EN216" s="24"/>
      <c r="EO216" s="24"/>
      <c r="EP216" s="24"/>
      <c r="EQ216" s="24"/>
      <c r="ER216" s="24"/>
      <c r="ES216" s="24"/>
      <c r="ET216" s="24"/>
      <c r="EU216" s="24"/>
      <c r="EV216" s="24"/>
      <c r="EW216" s="24"/>
      <c r="EX216" s="24"/>
      <c r="EY216" s="24"/>
      <c r="EZ216" s="24"/>
      <c r="FA216" s="24"/>
      <c r="FB216" s="24"/>
      <c r="FC216" s="24"/>
      <c r="FD216" s="24"/>
      <c r="FE216" s="24"/>
      <c r="FF216" s="24"/>
      <c r="FG216" s="24"/>
      <c r="FH216" s="24"/>
      <c r="FI216" s="24"/>
      <c r="FJ216" s="24"/>
    </row>
    <row r="217" spans="1:166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24"/>
      <c r="DK217" s="24"/>
      <c r="DL217" s="24"/>
      <c r="DM217" s="24"/>
      <c r="DN217" s="24"/>
      <c r="DO217" s="24"/>
      <c r="DP217" s="24"/>
      <c r="DQ217" s="24"/>
      <c r="DR217" s="24"/>
      <c r="DS217" s="24"/>
      <c r="DT217" s="24"/>
      <c r="DU217" s="24"/>
      <c r="DV217" s="24"/>
      <c r="DW217" s="24"/>
      <c r="DX217" s="24"/>
      <c r="DY217" s="24"/>
      <c r="DZ217" s="24"/>
      <c r="EA217" s="24"/>
      <c r="EB217" s="24"/>
      <c r="EC217" s="24"/>
      <c r="ED217" s="24"/>
      <c r="EE217" s="24"/>
      <c r="EF217" s="24"/>
      <c r="EG217" s="24"/>
      <c r="EH217" s="24"/>
      <c r="EI217" s="24"/>
      <c r="EJ217" s="24"/>
      <c r="EK217" s="24"/>
      <c r="EL217" s="24"/>
      <c r="EM217" s="24"/>
      <c r="EN217" s="24"/>
      <c r="EO217" s="24"/>
      <c r="EP217" s="24"/>
      <c r="EQ217" s="24"/>
      <c r="ER217" s="24"/>
      <c r="ES217" s="24"/>
      <c r="ET217" s="24"/>
      <c r="EU217" s="24"/>
      <c r="EV217" s="24"/>
      <c r="EW217" s="24"/>
      <c r="EX217" s="24"/>
      <c r="EY217" s="24"/>
      <c r="EZ217" s="24"/>
      <c r="FA217" s="24"/>
      <c r="FB217" s="24"/>
      <c r="FC217" s="24"/>
      <c r="FD217" s="24"/>
      <c r="FE217" s="24"/>
      <c r="FF217" s="24"/>
      <c r="FG217" s="24"/>
      <c r="FH217" s="24"/>
      <c r="FI217" s="24"/>
      <c r="FJ217" s="24"/>
    </row>
    <row r="218" spans="1:166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  <c r="CO218" s="24"/>
      <c r="CP218" s="24"/>
      <c r="CQ218" s="24"/>
      <c r="CR218" s="24"/>
      <c r="CS218" s="24"/>
      <c r="CT218" s="24"/>
      <c r="CU218" s="24"/>
      <c r="CV218" s="24"/>
      <c r="CW218" s="24"/>
      <c r="CX218" s="24"/>
      <c r="CY218" s="24"/>
      <c r="CZ218" s="24"/>
      <c r="DA218" s="24"/>
      <c r="DB218" s="24"/>
      <c r="DC218" s="24"/>
      <c r="DD218" s="24"/>
      <c r="DE218" s="24"/>
      <c r="DF218" s="24"/>
      <c r="DG218" s="24"/>
      <c r="DH218" s="24"/>
      <c r="DI218" s="24"/>
      <c r="DJ218" s="24"/>
      <c r="DK218" s="24"/>
      <c r="DL218" s="24"/>
      <c r="DM218" s="24"/>
      <c r="DN218" s="24"/>
      <c r="DO218" s="24"/>
      <c r="DP218" s="24"/>
      <c r="DQ218" s="24"/>
      <c r="DR218" s="24"/>
      <c r="DS218" s="24"/>
      <c r="DT218" s="24"/>
      <c r="DU218" s="24"/>
      <c r="DV218" s="24"/>
      <c r="DW218" s="24"/>
      <c r="DX218" s="24"/>
      <c r="DY218" s="24"/>
      <c r="DZ218" s="24"/>
      <c r="EA218" s="24"/>
      <c r="EB218" s="24"/>
      <c r="EC218" s="24"/>
      <c r="ED218" s="24"/>
      <c r="EE218" s="24"/>
      <c r="EF218" s="24"/>
      <c r="EG218" s="24"/>
      <c r="EH218" s="24"/>
      <c r="EI218" s="24"/>
      <c r="EJ218" s="24"/>
      <c r="EK218" s="24"/>
      <c r="EL218" s="24"/>
      <c r="EM218" s="24"/>
      <c r="EN218" s="24"/>
      <c r="EO218" s="24"/>
      <c r="EP218" s="24"/>
      <c r="EQ218" s="24"/>
      <c r="ER218" s="24"/>
      <c r="ES218" s="24"/>
      <c r="ET218" s="24"/>
      <c r="EU218" s="24"/>
      <c r="EV218" s="24"/>
      <c r="EW218" s="24"/>
      <c r="EX218" s="24"/>
      <c r="EY218" s="24"/>
      <c r="EZ218" s="24"/>
      <c r="FA218" s="24"/>
      <c r="FB218" s="24"/>
      <c r="FC218" s="24"/>
      <c r="FD218" s="24"/>
      <c r="FE218" s="24"/>
      <c r="FF218" s="24"/>
      <c r="FG218" s="24"/>
      <c r="FH218" s="24"/>
      <c r="FI218" s="24"/>
      <c r="FJ218" s="24"/>
    </row>
    <row r="219" spans="1:166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  <c r="CO219" s="24"/>
      <c r="CP219" s="24"/>
      <c r="CQ219" s="24"/>
      <c r="CR219" s="24"/>
      <c r="CS219" s="24"/>
      <c r="CT219" s="24"/>
      <c r="CU219" s="24"/>
      <c r="CV219" s="24"/>
      <c r="CW219" s="24"/>
      <c r="CX219" s="24"/>
      <c r="CY219" s="24"/>
      <c r="CZ219" s="24"/>
      <c r="DA219" s="24"/>
      <c r="DB219" s="24"/>
      <c r="DC219" s="24"/>
      <c r="DD219" s="24"/>
      <c r="DE219" s="24"/>
      <c r="DF219" s="24"/>
      <c r="DG219" s="24"/>
      <c r="DH219" s="24"/>
      <c r="DI219" s="24"/>
      <c r="DJ219" s="24"/>
      <c r="DK219" s="24"/>
      <c r="DL219" s="24"/>
      <c r="DM219" s="24"/>
      <c r="DN219" s="24"/>
      <c r="DO219" s="24"/>
      <c r="DP219" s="24"/>
      <c r="DQ219" s="24"/>
      <c r="DR219" s="24"/>
      <c r="DS219" s="24"/>
      <c r="DT219" s="24"/>
      <c r="DU219" s="24"/>
      <c r="DV219" s="24"/>
      <c r="DW219" s="24"/>
      <c r="DX219" s="24"/>
      <c r="DY219" s="24"/>
      <c r="DZ219" s="24"/>
      <c r="EA219" s="24"/>
      <c r="EB219" s="24"/>
      <c r="EC219" s="24"/>
      <c r="ED219" s="24"/>
      <c r="EE219" s="24"/>
      <c r="EF219" s="24"/>
      <c r="EG219" s="24"/>
      <c r="EH219" s="24"/>
      <c r="EI219" s="24"/>
      <c r="EJ219" s="24"/>
      <c r="EK219" s="24"/>
      <c r="EL219" s="24"/>
      <c r="EM219" s="24"/>
      <c r="EN219" s="24"/>
      <c r="EO219" s="24"/>
      <c r="EP219" s="24"/>
      <c r="EQ219" s="24"/>
      <c r="ER219" s="24"/>
      <c r="ES219" s="24"/>
      <c r="ET219" s="24"/>
      <c r="EU219" s="24"/>
      <c r="EV219" s="24"/>
      <c r="EW219" s="24"/>
      <c r="EX219" s="24"/>
      <c r="EY219" s="24"/>
      <c r="EZ219" s="24"/>
      <c r="FA219" s="24"/>
      <c r="FB219" s="24"/>
      <c r="FC219" s="24"/>
      <c r="FD219" s="24"/>
      <c r="FE219" s="24"/>
      <c r="FF219" s="24"/>
      <c r="FG219" s="24"/>
      <c r="FH219" s="24"/>
      <c r="FI219" s="24"/>
      <c r="FJ219" s="24"/>
    </row>
    <row r="220" spans="1:166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  <c r="CO220" s="24"/>
      <c r="CP220" s="24"/>
      <c r="CQ220" s="24"/>
      <c r="CR220" s="24"/>
      <c r="CS220" s="24"/>
      <c r="CT220" s="24"/>
      <c r="CU220" s="24"/>
      <c r="CV220" s="24"/>
      <c r="CW220" s="24"/>
      <c r="CX220" s="24"/>
      <c r="CY220" s="24"/>
      <c r="CZ220" s="24"/>
      <c r="DA220" s="24"/>
      <c r="DB220" s="24"/>
      <c r="DC220" s="24"/>
      <c r="DD220" s="24"/>
      <c r="DE220" s="24"/>
      <c r="DF220" s="24"/>
      <c r="DG220" s="24"/>
      <c r="DH220" s="24"/>
      <c r="DI220" s="24"/>
      <c r="DJ220" s="24"/>
      <c r="DK220" s="24"/>
      <c r="DL220" s="24"/>
      <c r="DM220" s="24"/>
      <c r="DN220" s="24"/>
      <c r="DO220" s="24"/>
      <c r="DP220" s="24"/>
      <c r="DQ220" s="24"/>
      <c r="DR220" s="24"/>
      <c r="DS220" s="24"/>
      <c r="DT220" s="24"/>
      <c r="DU220" s="24"/>
      <c r="DV220" s="24"/>
      <c r="DW220" s="24"/>
      <c r="DX220" s="24"/>
      <c r="DY220" s="24"/>
      <c r="DZ220" s="24"/>
      <c r="EA220" s="24"/>
      <c r="EB220" s="24"/>
      <c r="EC220" s="24"/>
      <c r="ED220" s="24"/>
      <c r="EE220" s="24"/>
      <c r="EF220" s="24"/>
      <c r="EG220" s="24"/>
      <c r="EH220" s="24"/>
      <c r="EI220" s="24"/>
      <c r="EJ220" s="24"/>
      <c r="EK220" s="24"/>
      <c r="EL220" s="24"/>
      <c r="EM220" s="24"/>
      <c r="EN220" s="24"/>
      <c r="EO220" s="24"/>
      <c r="EP220" s="24"/>
      <c r="EQ220" s="24"/>
      <c r="ER220" s="24"/>
      <c r="ES220" s="24"/>
      <c r="ET220" s="24"/>
      <c r="EU220" s="24"/>
      <c r="EV220" s="24"/>
      <c r="EW220" s="24"/>
      <c r="EX220" s="24"/>
      <c r="EY220" s="24"/>
      <c r="EZ220" s="24"/>
      <c r="FA220" s="24"/>
      <c r="FB220" s="24"/>
      <c r="FC220" s="24"/>
      <c r="FD220" s="24"/>
      <c r="FE220" s="24"/>
      <c r="FF220" s="24"/>
      <c r="FG220" s="24"/>
      <c r="FH220" s="24"/>
      <c r="FI220" s="24"/>
      <c r="FJ220" s="24"/>
    </row>
    <row r="221" spans="1:166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  <c r="CO221" s="24"/>
      <c r="CP221" s="24"/>
      <c r="CQ221" s="24"/>
      <c r="CR221" s="24"/>
      <c r="CS221" s="24"/>
      <c r="CT221" s="24"/>
      <c r="CU221" s="24"/>
      <c r="CV221" s="24"/>
      <c r="CW221" s="24"/>
      <c r="CX221" s="24"/>
      <c r="CY221" s="24"/>
      <c r="CZ221" s="24"/>
      <c r="DA221" s="24"/>
      <c r="DB221" s="24"/>
      <c r="DC221" s="24"/>
      <c r="DD221" s="24"/>
      <c r="DE221" s="24"/>
      <c r="DF221" s="24"/>
      <c r="DG221" s="24"/>
      <c r="DH221" s="24"/>
      <c r="DI221" s="24"/>
      <c r="DJ221" s="24"/>
      <c r="DK221" s="24"/>
      <c r="DL221" s="24"/>
      <c r="DM221" s="24"/>
      <c r="DN221" s="24"/>
      <c r="DO221" s="24"/>
      <c r="DP221" s="24"/>
      <c r="DQ221" s="24"/>
      <c r="DR221" s="24"/>
      <c r="DS221" s="24"/>
      <c r="DT221" s="24"/>
      <c r="DU221" s="24"/>
      <c r="DV221" s="24"/>
      <c r="DW221" s="24"/>
      <c r="DX221" s="24"/>
      <c r="DY221" s="24"/>
      <c r="DZ221" s="24"/>
      <c r="EA221" s="24"/>
      <c r="EB221" s="24"/>
      <c r="EC221" s="24"/>
      <c r="ED221" s="24"/>
      <c r="EE221" s="24"/>
      <c r="EF221" s="24"/>
      <c r="EG221" s="24"/>
      <c r="EH221" s="24"/>
      <c r="EI221" s="24"/>
      <c r="EJ221" s="24"/>
      <c r="EK221" s="24"/>
      <c r="EL221" s="24"/>
      <c r="EM221" s="24"/>
      <c r="EN221" s="24"/>
      <c r="EO221" s="24"/>
      <c r="EP221" s="24"/>
      <c r="EQ221" s="24"/>
      <c r="ER221" s="24"/>
      <c r="ES221" s="24"/>
      <c r="ET221" s="24"/>
      <c r="EU221" s="24"/>
      <c r="EV221" s="24"/>
      <c r="EW221" s="24"/>
      <c r="EX221" s="24"/>
      <c r="EY221" s="24"/>
      <c r="EZ221" s="24"/>
      <c r="FA221" s="24"/>
      <c r="FB221" s="24"/>
      <c r="FC221" s="24"/>
      <c r="FD221" s="24"/>
      <c r="FE221" s="24"/>
      <c r="FF221" s="24"/>
      <c r="FG221" s="24"/>
      <c r="FH221" s="24"/>
      <c r="FI221" s="24"/>
      <c r="FJ221" s="24"/>
    </row>
    <row r="222" spans="1:166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4"/>
      <c r="AS222" s="24"/>
      <c r="AT222" s="24"/>
      <c r="AU222" s="24"/>
      <c r="AV222" s="24"/>
      <c r="AW222" s="24"/>
      <c r="AX222" s="24"/>
      <c r="AY222" s="24"/>
      <c r="AZ222" s="24"/>
      <c r="BA222" s="24"/>
      <c r="BB222" s="24"/>
      <c r="BC222" s="2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  <c r="CO222" s="24"/>
      <c r="CP222" s="24"/>
      <c r="CQ222" s="24"/>
      <c r="CR222" s="24"/>
      <c r="CS222" s="24"/>
      <c r="CT222" s="24"/>
      <c r="CU222" s="24"/>
      <c r="CV222" s="24"/>
      <c r="CW222" s="24"/>
      <c r="CX222" s="24"/>
      <c r="CY222" s="24"/>
      <c r="CZ222" s="24"/>
      <c r="DA222" s="24"/>
      <c r="DB222" s="24"/>
      <c r="DC222" s="24"/>
      <c r="DD222" s="24"/>
      <c r="DE222" s="24"/>
      <c r="DF222" s="24"/>
      <c r="DG222" s="24"/>
      <c r="DH222" s="24"/>
      <c r="DI222" s="24"/>
      <c r="DJ222" s="24"/>
      <c r="DK222" s="24"/>
      <c r="DL222" s="24"/>
      <c r="DM222" s="24"/>
      <c r="DN222" s="24"/>
      <c r="DO222" s="24"/>
      <c r="DP222" s="24"/>
      <c r="DQ222" s="24"/>
      <c r="DR222" s="24"/>
      <c r="DS222" s="24"/>
      <c r="DT222" s="24"/>
      <c r="DU222" s="24"/>
      <c r="DV222" s="24"/>
      <c r="DW222" s="24"/>
      <c r="DX222" s="24"/>
      <c r="DY222" s="24"/>
      <c r="DZ222" s="24"/>
      <c r="EA222" s="24"/>
      <c r="EB222" s="24"/>
      <c r="EC222" s="24"/>
      <c r="ED222" s="24"/>
      <c r="EE222" s="24"/>
      <c r="EF222" s="24"/>
      <c r="EG222" s="24"/>
      <c r="EH222" s="24"/>
      <c r="EI222" s="24"/>
      <c r="EJ222" s="24"/>
      <c r="EK222" s="24"/>
      <c r="EL222" s="24"/>
      <c r="EM222" s="24"/>
      <c r="EN222" s="24"/>
      <c r="EO222" s="24"/>
      <c r="EP222" s="24"/>
      <c r="EQ222" s="24"/>
      <c r="ER222" s="24"/>
      <c r="ES222" s="24"/>
      <c r="ET222" s="24"/>
      <c r="EU222" s="24"/>
      <c r="EV222" s="24"/>
      <c r="EW222" s="24"/>
      <c r="EX222" s="24"/>
      <c r="EY222" s="24"/>
      <c r="EZ222" s="24"/>
      <c r="FA222" s="24"/>
      <c r="FB222" s="24"/>
      <c r="FC222" s="24"/>
      <c r="FD222" s="24"/>
      <c r="FE222" s="24"/>
      <c r="FF222" s="24"/>
      <c r="FG222" s="24"/>
      <c r="FH222" s="24"/>
      <c r="FI222" s="24"/>
      <c r="FJ222" s="24"/>
    </row>
    <row r="223" spans="1:166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  <c r="CO223" s="24"/>
      <c r="CP223" s="24"/>
      <c r="CQ223" s="24"/>
      <c r="CR223" s="24"/>
      <c r="CS223" s="24"/>
      <c r="CT223" s="24"/>
      <c r="CU223" s="24"/>
      <c r="CV223" s="24"/>
      <c r="CW223" s="24"/>
      <c r="CX223" s="24"/>
      <c r="CY223" s="24"/>
      <c r="CZ223" s="24"/>
      <c r="DA223" s="24"/>
      <c r="DB223" s="24"/>
      <c r="DC223" s="24"/>
      <c r="DD223" s="24"/>
      <c r="DE223" s="24"/>
      <c r="DF223" s="24"/>
      <c r="DG223" s="24"/>
      <c r="DH223" s="24"/>
      <c r="DI223" s="24"/>
      <c r="DJ223" s="24"/>
      <c r="DK223" s="24"/>
      <c r="DL223" s="24"/>
      <c r="DM223" s="24"/>
      <c r="DN223" s="24"/>
      <c r="DO223" s="24"/>
      <c r="DP223" s="24"/>
      <c r="DQ223" s="24"/>
      <c r="DR223" s="24"/>
      <c r="DS223" s="24"/>
      <c r="DT223" s="24"/>
      <c r="DU223" s="24"/>
      <c r="DV223" s="24"/>
      <c r="DW223" s="24"/>
      <c r="DX223" s="24"/>
      <c r="DY223" s="24"/>
      <c r="DZ223" s="24"/>
      <c r="EA223" s="24"/>
      <c r="EB223" s="24"/>
      <c r="EC223" s="24"/>
      <c r="ED223" s="24"/>
      <c r="EE223" s="24"/>
      <c r="EF223" s="24"/>
      <c r="EG223" s="24"/>
      <c r="EH223" s="24"/>
      <c r="EI223" s="24"/>
      <c r="EJ223" s="24"/>
      <c r="EK223" s="24"/>
      <c r="EL223" s="24"/>
      <c r="EM223" s="24"/>
      <c r="EN223" s="24"/>
      <c r="EO223" s="24"/>
      <c r="EP223" s="24"/>
      <c r="EQ223" s="24"/>
      <c r="ER223" s="24"/>
      <c r="ES223" s="24"/>
      <c r="ET223" s="24"/>
      <c r="EU223" s="24"/>
      <c r="EV223" s="24"/>
      <c r="EW223" s="24"/>
      <c r="EX223" s="24"/>
      <c r="EY223" s="24"/>
      <c r="EZ223" s="24"/>
      <c r="FA223" s="24"/>
      <c r="FB223" s="24"/>
      <c r="FC223" s="24"/>
      <c r="FD223" s="24"/>
      <c r="FE223" s="24"/>
      <c r="FF223" s="24"/>
      <c r="FG223" s="24"/>
      <c r="FH223" s="24"/>
      <c r="FI223" s="24"/>
      <c r="FJ223" s="24"/>
    </row>
    <row r="224" spans="1:166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</row>
    <row r="225" spans="1:166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  <c r="CO225" s="24"/>
      <c r="CP225" s="24"/>
      <c r="CQ225" s="24"/>
      <c r="CR225" s="24"/>
      <c r="CS225" s="24"/>
      <c r="CT225" s="24"/>
      <c r="CU225" s="24"/>
      <c r="CV225" s="24"/>
      <c r="CW225" s="24"/>
      <c r="CX225" s="24"/>
      <c r="CY225" s="24"/>
      <c r="CZ225" s="24"/>
      <c r="DA225" s="24"/>
      <c r="DB225" s="24"/>
      <c r="DC225" s="24"/>
      <c r="DD225" s="24"/>
      <c r="DE225" s="24"/>
      <c r="DF225" s="24"/>
      <c r="DG225" s="24"/>
      <c r="DH225" s="24"/>
      <c r="DI225" s="24"/>
      <c r="DJ225" s="24"/>
      <c r="DK225" s="24"/>
      <c r="DL225" s="24"/>
      <c r="DM225" s="24"/>
      <c r="DN225" s="24"/>
      <c r="DO225" s="24"/>
      <c r="DP225" s="24"/>
      <c r="DQ225" s="24"/>
      <c r="DR225" s="24"/>
      <c r="DS225" s="24"/>
      <c r="DT225" s="24"/>
      <c r="DU225" s="24"/>
      <c r="DV225" s="24"/>
      <c r="DW225" s="24"/>
      <c r="DX225" s="24"/>
      <c r="DY225" s="24"/>
      <c r="DZ225" s="24"/>
      <c r="EA225" s="24"/>
      <c r="EB225" s="24"/>
      <c r="EC225" s="24"/>
      <c r="ED225" s="24"/>
      <c r="EE225" s="24"/>
      <c r="EF225" s="24"/>
      <c r="EG225" s="24"/>
      <c r="EH225" s="24"/>
      <c r="EI225" s="24"/>
      <c r="EJ225" s="24"/>
      <c r="EK225" s="24"/>
      <c r="EL225" s="24"/>
      <c r="EM225" s="24"/>
      <c r="EN225" s="24"/>
      <c r="EO225" s="24"/>
      <c r="EP225" s="24"/>
      <c r="EQ225" s="24"/>
      <c r="ER225" s="24"/>
      <c r="ES225" s="24"/>
      <c r="ET225" s="24"/>
      <c r="EU225" s="24"/>
      <c r="EV225" s="24"/>
      <c r="EW225" s="24"/>
      <c r="EX225" s="24"/>
      <c r="EY225" s="24"/>
      <c r="EZ225" s="24"/>
      <c r="FA225" s="24"/>
      <c r="FB225" s="24"/>
      <c r="FC225" s="24"/>
      <c r="FD225" s="24"/>
      <c r="FE225" s="24"/>
      <c r="FF225" s="24"/>
      <c r="FG225" s="24"/>
      <c r="FH225" s="24"/>
      <c r="FI225" s="24"/>
      <c r="FJ225" s="24"/>
    </row>
    <row r="226" spans="1:166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4"/>
      <c r="DK226" s="24"/>
      <c r="DL226" s="24"/>
      <c r="DM226" s="24"/>
      <c r="DN226" s="24"/>
      <c r="DO226" s="24"/>
      <c r="DP226" s="24"/>
      <c r="DQ226" s="24"/>
      <c r="DR226" s="24"/>
      <c r="DS226" s="24"/>
      <c r="DT226" s="24"/>
      <c r="DU226" s="24"/>
      <c r="DV226" s="24"/>
      <c r="DW226" s="24"/>
      <c r="DX226" s="24"/>
      <c r="DY226" s="24"/>
      <c r="DZ226" s="24"/>
      <c r="EA226" s="24"/>
      <c r="EB226" s="24"/>
      <c r="EC226" s="24"/>
      <c r="ED226" s="24"/>
      <c r="EE226" s="24"/>
      <c r="EF226" s="24"/>
      <c r="EG226" s="24"/>
      <c r="EH226" s="24"/>
      <c r="EI226" s="24"/>
      <c r="EJ226" s="24"/>
      <c r="EK226" s="24"/>
      <c r="EL226" s="24"/>
      <c r="EM226" s="24"/>
      <c r="EN226" s="24"/>
      <c r="EO226" s="24"/>
      <c r="EP226" s="24"/>
      <c r="EQ226" s="24"/>
      <c r="ER226" s="24"/>
      <c r="ES226" s="24"/>
      <c r="ET226" s="24"/>
      <c r="EU226" s="24"/>
      <c r="EV226" s="24"/>
      <c r="EW226" s="24"/>
      <c r="EX226" s="24"/>
      <c r="EY226" s="24"/>
      <c r="EZ226" s="24"/>
      <c r="FA226" s="24"/>
      <c r="FB226" s="24"/>
      <c r="FC226" s="24"/>
      <c r="FD226" s="24"/>
      <c r="FE226" s="24"/>
      <c r="FF226" s="24"/>
      <c r="FG226" s="24"/>
      <c r="FH226" s="24"/>
      <c r="FI226" s="24"/>
      <c r="FJ226" s="24"/>
    </row>
    <row r="227" spans="1:166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  <c r="CO227" s="24"/>
      <c r="CP227" s="24"/>
      <c r="CQ227" s="24"/>
      <c r="CR227" s="24"/>
      <c r="CS227" s="24"/>
      <c r="CT227" s="24"/>
      <c r="CU227" s="24"/>
      <c r="CV227" s="24"/>
      <c r="CW227" s="24"/>
      <c r="CX227" s="24"/>
      <c r="CY227" s="24"/>
      <c r="CZ227" s="24"/>
      <c r="DA227" s="24"/>
      <c r="DB227" s="24"/>
      <c r="DC227" s="24"/>
      <c r="DD227" s="24"/>
      <c r="DE227" s="24"/>
      <c r="DF227" s="24"/>
      <c r="DG227" s="24"/>
      <c r="DH227" s="24"/>
      <c r="DI227" s="24"/>
      <c r="DJ227" s="24"/>
      <c r="DK227" s="24"/>
      <c r="DL227" s="24"/>
      <c r="DM227" s="24"/>
      <c r="DN227" s="24"/>
      <c r="DO227" s="24"/>
      <c r="DP227" s="24"/>
      <c r="DQ227" s="24"/>
      <c r="DR227" s="24"/>
      <c r="DS227" s="24"/>
      <c r="DT227" s="24"/>
      <c r="DU227" s="24"/>
      <c r="DV227" s="24"/>
      <c r="DW227" s="24"/>
      <c r="DX227" s="24"/>
      <c r="DY227" s="24"/>
      <c r="DZ227" s="24"/>
      <c r="EA227" s="24"/>
      <c r="EB227" s="24"/>
      <c r="EC227" s="24"/>
      <c r="ED227" s="24"/>
      <c r="EE227" s="24"/>
      <c r="EF227" s="24"/>
      <c r="EG227" s="24"/>
      <c r="EH227" s="24"/>
      <c r="EI227" s="24"/>
      <c r="EJ227" s="24"/>
      <c r="EK227" s="24"/>
      <c r="EL227" s="24"/>
      <c r="EM227" s="24"/>
      <c r="EN227" s="24"/>
      <c r="EO227" s="24"/>
      <c r="EP227" s="24"/>
      <c r="EQ227" s="24"/>
      <c r="ER227" s="24"/>
      <c r="ES227" s="24"/>
      <c r="ET227" s="24"/>
      <c r="EU227" s="24"/>
      <c r="EV227" s="24"/>
      <c r="EW227" s="24"/>
      <c r="EX227" s="24"/>
      <c r="EY227" s="24"/>
      <c r="EZ227" s="24"/>
      <c r="FA227" s="24"/>
      <c r="FB227" s="24"/>
      <c r="FC227" s="24"/>
      <c r="FD227" s="24"/>
      <c r="FE227" s="24"/>
      <c r="FF227" s="24"/>
      <c r="FG227" s="24"/>
      <c r="FH227" s="24"/>
      <c r="FI227" s="24"/>
      <c r="FJ227" s="24"/>
    </row>
    <row r="228" spans="1:166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  <c r="CO228" s="24"/>
      <c r="CP228" s="24"/>
      <c r="CQ228" s="24"/>
      <c r="CR228" s="24"/>
      <c r="CS228" s="24"/>
      <c r="CT228" s="24"/>
      <c r="CU228" s="24"/>
      <c r="CV228" s="24"/>
      <c r="CW228" s="24"/>
      <c r="CX228" s="24"/>
      <c r="CY228" s="24"/>
      <c r="CZ228" s="24"/>
      <c r="DA228" s="24"/>
      <c r="DB228" s="24"/>
      <c r="DC228" s="24"/>
      <c r="DD228" s="24"/>
      <c r="DE228" s="24"/>
      <c r="DF228" s="24"/>
      <c r="DG228" s="24"/>
      <c r="DH228" s="24"/>
      <c r="DI228" s="24"/>
      <c r="DJ228" s="24"/>
      <c r="DK228" s="24"/>
      <c r="DL228" s="24"/>
      <c r="DM228" s="24"/>
      <c r="DN228" s="24"/>
      <c r="DO228" s="24"/>
      <c r="DP228" s="24"/>
      <c r="DQ228" s="24"/>
      <c r="DR228" s="24"/>
      <c r="DS228" s="24"/>
      <c r="DT228" s="24"/>
      <c r="DU228" s="24"/>
      <c r="DV228" s="24"/>
      <c r="DW228" s="24"/>
      <c r="DX228" s="24"/>
      <c r="DY228" s="24"/>
      <c r="DZ228" s="24"/>
      <c r="EA228" s="24"/>
      <c r="EB228" s="24"/>
      <c r="EC228" s="24"/>
      <c r="ED228" s="24"/>
      <c r="EE228" s="24"/>
      <c r="EF228" s="24"/>
      <c r="EG228" s="24"/>
      <c r="EH228" s="24"/>
      <c r="EI228" s="24"/>
      <c r="EJ228" s="24"/>
      <c r="EK228" s="24"/>
      <c r="EL228" s="24"/>
      <c r="EM228" s="24"/>
      <c r="EN228" s="24"/>
      <c r="EO228" s="24"/>
      <c r="EP228" s="24"/>
      <c r="EQ228" s="24"/>
      <c r="ER228" s="24"/>
      <c r="ES228" s="24"/>
      <c r="ET228" s="24"/>
      <c r="EU228" s="24"/>
      <c r="EV228" s="24"/>
      <c r="EW228" s="24"/>
      <c r="EX228" s="24"/>
      <c r="EY228" s="24"/>
      <c r="EZ228" s="24"/>
      <c r="FA228" s="24"/>
      <c r="FB228" s="24"/>
      <c r="FC228" s="24"/>
      <c r="FD228" s="24"/>
      <c r="FE228" s="24"/>
      <c r="FF228" s="24"/>
      <c r="FG228" s="24"/>
      <c r="FH228" s="24"/>
      <c r="FI228" s="24"/>
      <c r="FJ228" s="24"/>
    </row>
    <row r="229" spans="1:166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  <c r="CO229" s="24"/>
      <c r="CP229" s="24"/>
      <c r="CQ229" s="24"/>
      <c r="CR229" s="24"/>
      <c r="CS229" s="24"/>
      <c r="CT229" s="24"/>
      <c r="CU229" s="24"/>
      <c r="CV229" s="24"/>
      <c r="CW229" s="24"/>
      <c r="CX229" s="24"/>
      <c r="CY229" s="24"/>
      <c r="CZ229" s="24"/>
      <c r="DA229" s="24"/>
      <c r="DB229" s="24"/>
      <c r="DC229" s="24"/>
      <c r="DD229" s="24"/>
      <c r="DE229" s="24"/>
      <c r="DF229" s="24"/>
      <c r="DG229" s="24"/>
      <c r="DH229" s="24"/>
      <c r="DI229" s="24"/>
      <c r="DJ229" s="24"/>
      <c r="DK229" s="24"/>
      <c r="DL229" s="24"/>
      <c r="DM229" s="24"/>
      <c r="DN229" s="24"/>
      <c r="DO229" s="24"/>
      <c r="DP229" s="24"/>
      <c r="DQ229" s="24"/>
      <c r="DR229" s="24"/>
      <c r="DS229" s="24"/>
      <c r="DT229" s="24"/>
      <c r="DU229" s="24"/>
      <c r="DV229" s="24"/>
      <c r="DW229" s="24"/>
      <c r="DX229" s="24"/>
      <c r="DY229" s="24"/>
      <c r="DZ229" s="24"/>
      <c r="EA229" s="24"/>
      <c r="EB229" s="24"/>
      <c r="EC229" s="24"/>
      <c r="ED229" s="24"/>
      <c r="EE229" s="24"/>
      <c r="EF229" s="24"/>
      <c r="EG229" s="24"/>
      <c r="EH229" s="24"/>
      <c r="EI229" s="24"/>
      <c r="EJ229" s="24"/>
      <c r="EK229" s="24"/>
      <c r="EL229" s="24"/>
      <c r="EM229" s="24"/>
      <c r="EN229" s="24"/>
      <c r="EO229" s="24"/>
      <c r="EP229" s="24"/>
      <c r="EQ229" s="24"/>
      <c r="ER229" s="24"/>
      <c r="ES229" s="24"/>
      <c r="ET229" s="24"/>
      <c r="EU229" s="24"/>
      <c r="EV229" s="24"/>
      <c r="EW229" s="24"/>
      <c r="EX229" s="24"/>
      <c r="EY229" s="24"/>
      <c r="EZ229" s="24"/>
      <c r="FA229" s="24"/>
      <c r="FB229" s="24"/>
      <c r="FC229" s="24"/>
      <c r="FD229" s="24"/>
      <c r="FE229" s="24"/>
      <c r="FF229" s="24"/>
      <c r="FG229" s="24"/>
      <c r="FH229" s="24"/>
      <c r="FI229" s="24"/>
      <c r="FJ229" s="24"/>
    </row>
    <row r="230" spans="1:166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  <c r="CO230" s="24"/>
      <c r="CP230" s="24"/>
      <c r="CQ230" s="24"/>
      <c r="CR230" s="24"/>
      <c r="CS230" s="24"/>
      <c r="CT230" s="24"/>
      <c r="CU230" s="24"/>
      <c r="CV230" s="24"/>
      <c r="CW230" s="24"/>
      <c r="CX230" s="24"/>
      <c r="CY230" s="24"/>
      <c r="CZ230" s="24"/>
      <c r="DA230" s="24"/>
      <c r="DB230" s="24"/>
      <c r="DC230" s="24"/>
      <c r="DD230" s="24"/>
      <c r="DE230" s="24"/>
      <c r="DF230" s="24"/>
      <c r="DG230" s="24"/>
      <c r="DH230" s="24"/>
      <c r="DI230" s="24"/>
      <c r="DJ230" s="24"/>
      <c r="DK230" s="24"/>
      <c r="DL230" s="24"/>
      <c r="DM230" s="24"/>
      <c r="DN230" s="24"/>
      <c r="DO230" s="24"/>
      <c r="DP230" s="24"/>
      <c r="DQ230" s="24"/>
      <c r="DR230" s="24"/>
      <c r="DS230" s="24"/>
      <c r="DT230" s="24"/>
      <c r="DU230" s="24"/>
      <c r="DV230" s="24"/>
      <c r="DW230" s="24"/>
      <c r="DX230" s="24"/>
      <c r="DY230" s="24"/>
      <c r="DZ230" s="24"/>
      <c r="EA230" s="24"/>
      <c r="EB230" s="24"/>
      <c r="EC230" s="24"/>
      <c r="ED230" s="24"/>
      <c r="EE230" s="24"/>
      <c r="EF230" s="24"/>
      <c r="EG230" s="24"/>
      <c r="EH230" s="24"/>
      <c r="EI230" s="24"/>
      <c r="EJ230" s="24"/>
      <c r="EK230" s="24"/>
      <c r="EL230" s="24"/>
      <c r="EM230" s="24"/>
      <c r="EN230" s="24"/>
      <c r="EO230" s="24"/>
      <c r="EP230" s="24"/>
      <c r="EQ230" s="24"/>
      <c r="ER230" s="24"/>
      <c r="ES230" s="24"/>
      <c r="ET230" s="24"/>
      <c r="EU230" s="24"/>
      <c r="EV230" s="24"/>
      <c r="EW230" s="24"/>
      <c r="EX230" s="24"/>
      <c r="EY230" s="24"/>
      <c r="EZ230" s="24"/>
      <c r="FA230" s="24"/>
      <c r="FB230" s="24"/>
      <c r="FC230" s="24"/>
      <c r="FD230" s="24"/>
      <c r="FE230" s="24"/>
      <c r="FF230" s="24"/>
      <c r="FG230" s="24"/>
      <c r="FH230" s="24"/>
      <c r="FI230" s="24"/>
      <c r="FJ230" s="24"/>
    </row>
    <row r="231" spans="1:166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  <c r="CO231" s="24"/>
      <c r="CP231" s="24"/>
      <c r="CQ231" s="24"/>
      <c r="CR231" s="24"/>
      <c r="CS231" s="24"/>
      <c r="CT231" s="24"/>
      <c r="CU231" s="24"/>
      <c r="CV231" s="24"/>
      <c r="CW231" s="24"/>
      <c r="CX231" s="24"/>
      <c r="CY231" s="24"/>
      <c r="CZ231" s="24"/>
      <c r="DA231" s="24"/>
      <c r="DB231" s="24"/>
      <c r="DC231" s="24"/>
      <c r="DD231" s="24"/>
      <c r="DE231" s="24"/>
      <c r="DF231" s="24"/>
      <c r="DG231" s="24"/>
      <c r="DH231" s="24"/>
      <c r="DI231" s="24"/>
      <c r="DJ231" s="24"/>
      <c r="DK231" s="24"/>
      <c r="DL231" s="24"/>
      <c r="DM231" s="24"/>
      <c r="DN231" s="24"/>
      <c r="DO231" s="24"/>
      <c r="DP231" s="24"/>
      <c r="DQ231" s="24"/>
      <c r="DR231" s="24"/>
      <c r="DS231" s="24"/>
      <c r="DT231" s="24"/>
      <c r="DU231" s="24"/>
      <c r="DV231" s="24"/>
      <c r="DW231" s="24"/>
      <c r="DX231" s="24"/>
      <c r="DY231" s="24"/>
      <c r="DZ231" s="24"/>
      <c r="EA231" s="24"/>
      <c r="EB231" s="24"/>
      <c r="EC231" s="24"/>
      <c r="ED231" s="24"/>
      <c r="EE231" s="24"/>
      <c r="EF231" s="24"/>
      <c r="EG231" s="24"/>
      <c r="EH231" s="24"/>
      <c r="EI231" s="24"/>
      <c r="EJ231" s="24"/>
      <c r="EK231" s="24"/>
      <c r="EL231" s="24"/>
      <c r="EM231" s="24"/>
      <c r="EN231" s="24"/>
      <c r="EO231" s="24"/>
      <c r="EP231" s="24"/>
      <c r="EQ231" s="24"/>
      <c r="ER231" s="24"/>
      <c r="ES231" s="24"/>
      <c r="ET231" s="24"/>
      <c r="EU231" s="24"/>
      <c r="EV231" s="24"/>
      <c r="EW231" s="24"/>
      <c r="EX231" s="24"/>
      <c r="EY231" s="24"/>
      <c r="EZ231" s="24"/>
      <c r="FA231" s="24"/>
      <c r="FB231" s="24"/>
      <c r="FC231" s="24"/>
      <c r="FD231" s="24"/>
      <c r="FE231" s="24"/>
      <c r="FF231" s="24"/>
      <c r="FG231" s="24"/>
      <c r="FH231" s="24"/>
      <c r="FI231" s="24"/>
      <c r="FJ231" s="24"/>
    </row>
    <row r="232" spans="1:166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  <c r="CO232" s="24"/>
      <c r="CP232" s="24"/>
      <c r="CQ232" s="24"/>
      <c r="CR232" s="24"/>
      <c r="CS232" s="24"/>
      <c r="CT232" s="24"/>
      <c r="CU232" s="24"/>
      <c r="CV232" s="24"/>
      <c r="CW232" s="24"/>
      <c r="CX232" s="24"/>
      <c r="CY232" s="24"/>
      <c r="CZ232" s="24"/>
      <c r="DA232" s="24"/>
      <c r="DB232" s="24"/>
      <c r="DC232" s="24"/>
      <c r="DD232" s="24"/>
      <c r="DE232" s="24"/>
      <c r="DF232" s="24"/>
      <c r="DG232" s="24"/>
      <c r="DH232" s="24"/>
      <c r="DI232" s="24"/>
      <c r="DJ232" s="24"/>
      <c r="DK232" s="24"/>
      <c r="DL232" s="24"/>
      <c r="DM232" s="24"/>
      <c r="DN232" s="24"/>
      <c r="DO232" s="24"/>
      <c r="DP232" s="24"/>
      <c r="DQ232" s="24"/>
      <c r="DR232" s="24"/>
      <c r="DS232" s="24"/>
      <c r="DT232" s="24"/>
      <c r="DU232" s="24"/>
      <c r="DV232" s="24"/>
      <c r="DW232" s="24"/>
      <c r="DX232" s="24"/>
      <c r="DY232" s="24"/>
      <c r="DZ232" s="24"/>
      <c r="EA232" s="24"/>
      <c r="EB232" s="24"/>
      <c r="EC232" s="24"/>
      <c r="ED232" s="24"/>
      <c r="EE232" s="24"/>
      <c r="EF232" s="24"/>
      <c r="EG232" s="24"/>
      <c r="EH232" s="24"/>
      <c r="EI232" s="24"/>
      <c r="EJ232" s="24"/>
      <c r="EK232" s="24"/>
      <c r="EL232" s="24"/>
      <c r="EM232" s="24"/>
      <c r="EN232" s="24"/>
      <c r="EO232" s="24"/>
      <c r="EP232" s="24"/>
      <c r="EQ232" s="24"/>
      <c r="ER232" s="24"/>
      <c r="ES232" s="24"/>
      <c r="ET232" s="24"/>
      <c r="EU232" s="24"/>
      <c r="EV232" s="24"/>
      <c r="EW232" s="24"/>
      <c r="EX232" s="24"/>
      <c r="EY232" s="24"/>
      <c r="EZ232" s="24"/>
      <c r="FA232" s="24"/>
      <c r="FB232" s="24"/>
      <c r="FC232" s="24"/>
      <c r="FD232" s="24"/>
      <c r="FE232" s="24"/>
      <c r="FF232" s="24"/>
      <c r="FG232" s="24"/>
      <c r="FH232" s="24"/>
      <c r="FI232" s="24"/>
      <c r="FJ232" s="24"/>
    </row>
    <row r="233" spans="1:166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  <c r="CO233" s="24"/>
      <c r="CP233" s="24"/>
      <c r="CQ233" s="24"/>
      <c r="CR233" s="24"/>
      <c r="CS233" s="24"/>
      <c r="CT233" s="24"/>
      <c r="CU233" s="24"/>
      <c r="CV233" s="24"/>
      <c r="CW233" s="24"/>
      <c r="CX233" s="24"/>
      <c r="CY233" s="24"/>
      <c r="CZ233" s="24"/>
      <c r="DA233" s="24"/>
      <c r="DB233" s="24"/>
      <c r="DC233" s="24"/>
      <c r="DD233" s="24"/>
      <c r="DE233" s="24"/>
      <c r="DF233" s="24"/>
      <c r="DG233" s="24"/>
      <c r="DH233" s="24"/>
      <c r="DI233" s="24"/>
      <c r="DJ233" s="24"/>
      <c r="DK233" s="24"/>
      <c r="DL233" s="24"/>
      <c r="DM233" s="24"/>
      <c r="DN233" s="24"/>
      <c r="DO233" s="24"/>
      <c r="DP233" s="24"/>
      <c r="DQ233" s="24"/>
      <c r="DR233" s="24"/>
      <c r="DS233" s="24"/>
      <c r="DT233" s="24"/>
      <c r="DU233" s="24"/>
      <c r="DV233" s="24"/>
      <c r="DW233" s="24"/>
      <c r="DX233" s="24"/>
      <c r="DY233" s="24"/>
      <c r="DZ233" s="24"/>
      <c r="EA233" s="24"/>
      <c r="EB233" s="24"/>
      <c r="EC233" s="24"/>
      <c r="ED233" s="24"/>
      <c r="EE233" s="24"/>
      <c r="EF233" s="24"/>
      <c r="EG233" s="24"/>
      <c r="EH233" s="24"/>
      <c r="EI233" s="24"/>
      <c r="EJ233" s="24"/>
      <c r="EK233" s="24"/>
      <c r="EL233" s="24"/>
      <c r="EM233" s="24"/>
      <c r="EN233" s="24"/>
      <c r="EO233" s="24"/>
      <c r="EP233" s="24"/>
      <c r="EQ233" s="24"/>
      <c r="ER233" s="24"/>
      <c r="ES233" s="24"/>
      <c r="ET233" s="24"/>
      <c r="EU233" s="24"/>
      <c r="EV233" s="24"/>
      <c r="EW233" s="24"/>
      <c r="EX233" s="24"/>
      <c r="EY233" s="24"/>
      <c r="EZ233" s="24"/>
      <c r="FA233" s="24"/>
      <c r="FB233" s="24"/>
      <c r="FC233" s="24"/>
      <c r="FD233" s="24"/>
      <c r="FE233" s="24"/>
      <c r="FF233" s="24"/>
      <c r="FG233" s="24"/>
      <c r="FH233" s="24"/>
      <c r="FI233" s="24"/>
      <c r="FJ233" s="24"/>
    </row>
    <row r="234" spans="1:166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  <c r="CO234" s="24"/>
      <c r="CP234" s="24"/>
      <c r="CQ234" s="24"/>
      <c r="CR234" s="24"/>
      <c r="CS234" s="24"/>
      <c r="CT234" s="24"/>
      <c r="CU234" s="24"/>
      <c r="CV234" s="24"/>
      <c r="CW234" s="24"/>
      <c r="CX234" s="24"/>
      <c r="CY234" s="24"/>
      <c r="CZ234" s="24"/>
      <c r="DA234" s="24"/>
      <c r="DB234" s="24"/>
      <c r="DC234" s="24"/>
      <c r="DD234" s="24"/>
      <c r="DE234" s="24"/>
      <c r="DF234" s="24"/>
      <c r="DG234" s="24"/>
      <c r="DH234" s="24"/>
      <c r="DI234" s="24"/>
      <c r="DJ234" s="24"/>
      <c r="DK234" s="24"/>
      <c r="DL234" s="24"/>
      <c r="DM234" s="24"/>
      <c r="DN234" s="24"/>
      <c r="DO234" s="24"/>
      <c r="DP234" s="24"/>
      <c r="DQ234" s="24"/>
      <c r="DR234" s="24"/>
      <c r="DS234" s="24"/>
      <c r="DT234" s="24"/>
      <c r="DU234" s="24"/>
      <c r="DV234" s="24"/>
      <c r="DW234" s="24"/>
      <c r="DX234" s="24"/>
      <c r="DY234" s="24"/>
      <c r="DZ234" s="24"/>
      <c r="EA234" s="24"/>
      <c r="EB234" s="24"/>
      <c r="EC234" s="24"/>
      <c r="ED234" s="24"/>
      <c r="EE234" s="24"/>
      <c r="EF234" s="24"/>
      <c r="EG234" s="24"/>
      <c r="EH234" s="24"/>
      <c r="EI234" s="24"/>
      <c r="EJ234" s="24"/>
      <c r="EK234" s="24"/>
      <c r="EL234" s="24"/>
      <c r="EM234" s="24"/>
      <c r="EN234" s="24"/>
      <c r="EO234" s="24"/>
      <c r="EP234" s="24"/>
      <c r="EQ234" s="24"/>
      <c r="ER234" s="24"/>
      <c r="ES234" s="24"/>
      <c r="ET234" s="24"/>
      <c r="EU234" s="24"/>
      <c r="EV234" s="24"/>
      <c r="EW234" s="24"/>
      <c r="EX234" s="24"/>
      <c r="EY234" s="24"/>
      <c r="EZ234" s="24"/>
      <c r="FA234" s="24"/>
      <c r="FB234" s="24"/>
      <c r="FC234" s="24"/>
      <c r="FD234" s="24"/>
      <c r="FE234" s="24"/>
      <c r="FF234" s="24"/>
      <c r="FG234" s="24"/>
      <c r="FH234" s="24"/>
      <c r="FI234" s="24"/>
      <c r="FJ234" s="24"/>
    </row>
    <row r="235" spans="1:166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  <c r="CO235" s="24"/>
      <c r="CP235" s="24"/>
      <c r="CQ235" s="24"/>
      <c r="CR235" s="24"/>
      <c r="CS235" s="24"/>
      <c r="CT235" s="24"/>
      <c r="CU235" s="24"/>
      <c r="CV235" s="24"/>
      <c r="CW235" s="24"/>
      <c r="CX235" s="24"/>
      <c r="CY235" s="24"/>
      <c r="CZ235" s="24"/>
      <c r="DA235" s="24"/>
      <c r="DB235" s="24"/>
      <c r="DC235" s="24"/>
      <c r="DD235" s="24"/>
      <c r="DE235" s="24"/>
      <c r="DF235" s="24"/>
      <c r="DG235" s="24"/>
      <c r="DH235" s="24"/>
      <c r="DI235" s="24"/>
      <c r="DJ235" s="24"/>
      <c r="DK235" s="24"/>
      <c r="DL235" s="24"/>
      <c r="DM235" s="24"/>
      <c r="DN235" s="24"/>
      <c r="DO235" s="24"/>
      <c r="DP235" s="24"/>
      <c r="DQ235" s="24"/>
      <c r="DR235" s="24"/>
      <c r="DS235" s="24"/>
      <c r="DT235" s="24"/>
      <c r="DU235" s="24"/>
      <c r="DV235" s="24"/>
      <c r="DW235" s="24"/>
      <c r="DX235" s="24"/>
      <c r="DY235" s="24"/>
      <c r="DZ235" s="24"/>
      <c r="EA235" s="24"/>
      <c r="EB235" s="24"/>
      <c r="EC235" s="24"/>
      <c r="ED235" s="24"/>
      <c r="EE235" s="24"/>
      <c r="EF235" s="24"/>
      <c r="EG235" s="24"/>
      <c r="EH235" s="24"/>
      <c r="EI235" s="24"/>
      <c r="EJ235" s="24"/>
      <c r="EK235" s="24"/>
      <c r="EL235" s="24"/>
      <c r="EM235" s="24"/>
      <c r="EN235" s="24"/>
      <c r="EO235" s="24"/>
      <c r="EP235" s="24"/>
      <c r="EQ235" s="24"/>
      <c r="ER235" s="24"/>
      <c r="ES235" s="24"/>
      <c r="ET235" s="24"/>
      <c r="EU235" s="24"/>
      <c r="EV235" s="24"/>
      <c r="EW235" s="24"/>
      <c r="EX235" s="24"/>
      <c r="EY235" s="24"/>
      <c r="EZ235" s="24"/>
      <c r="FA235" s="24"/>
      <c r="FB235" s="24"/>
      <c r="FC235" s="24"/>
      <c r="FD235" s="24"/>
      <c r="FE235" s="24"/>
      <c r="FF235" s="24"/>
      <c r="FG235" s="24"/>
      <c r="FH235" s="24"/>
      <c r="FI235" s="24"/>
      <c r="FJ235" s="24"/>
    </row>
    <row r="236" spans="1:166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4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  <c r="EW236" s="24"/>
      <c r="EX236" s="24"/>
      <c r="EY236" s="24"/>
      <c r="EZ236" s="24"/>
      <c r="FA236" s="24"/>
      <c r="FB236" s="24"/>
      <c r="FC236" s="24"/>
      <c r="FD236" s="24"/>
      <c r="FE236" s="24"/>
      <c r="FF236" s="24"/>
      <c r="FG236" s="24"/>
      <c r="FH236" s="24"/>
      <c r="FI236" s="24"/>
      <c r="FJ236" s="24"/>
    </row>
    <row r="237" spans="1:166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  <c r="CO237" s="24"/>
      <c r="CP237" s="24"/>
      <c r="CQ237" s="24"/>
      <c r="CR237" s="24"/>
      <c r="CS237" s="24"/>
      <c r="CT237" s="24"/>
      <c r="CU237" s="24"/>
      <c r="CV237" s="24"/>
      <c r="CW237" s="24"/>
      <c r="CX237" s="24"/>
      <c r="CY237" s="24"/>
      <c r="CZ237" s="24"/>
      <c r="DA237" s="24"/>
      <c r="DB237" s="24"/>
      <c r="DC237" s="24"/>
      <c r="DD237" s="24"/>
      <c r="DE237" s="24"/>
      <c r="DF237" s="24"/>
      <c r="DG237" s="24"/>
      <c r="DH237" s="24"/>
      <c r="DI237" s="24"/>
      <c r="DJ237" s="24"/>
      <c r="DK237" s="24"/>
      <c r="DL237" s="24"/>
      <c r="DM237" s="24"/>
      <c r="DN237" s="24"/>
      <c r="DO237" s="24"/>
      <c r="DP237" s="24"/>
      <c r="DQ237" s="24"/>
      <c r="DR237" s="24"/>
      <c r="DS237" s="24"/>
      <c r="DT237" s="24"/>
      <c r="DU237" s="24"/>
      <c r="DV237" s="24"/>
      <c r="DW237" s="24"/>
      <c r="DX237" s="24"/>
      <c r="DY237" s="24"/>
      <c r="DZ237" s="24"/>
      <c r="EA237" s="24"/>
      <c r="EB237" s="24"/>
      <c r="EC237" s="24"/>
      <c r="ED237" s="24"/>
      <c r="EE237" s="24"/>
      <c r="EF237" s="24"/>
      <c r="EG237" s="24"/>
      <c r="EH237" s="24"/>
      <c r="EI237" s="24"/>
      <c r="EJ237" s="24"/>
      <c r="EK237" s="24"/>
      <c r="EL237" s="24"/>
      <c r="EM237" s="24"/>
      <c r="EN237" s="24"/>
      <c r="EO237" s="24"/>
      <c r="EP237" s="24"/>
      <c r="EQ237" s="24"/>
      <c r="ER237" s="24"/>
      <c r="ES237" s="24"/>
      <c r="ET237" s="24"/>
      <c r="EU237" s="24"/>
      <c r="EV237" s="24"/>
      <c r="EW237" s="24"/>
      <c r="EX237" s="24"/>
      <c r="EY237" s="24"/>
      <c r="EZ237" s="24"/>
      <c r="FA237" s="24"/>
      <c r="FB237" s="24"/>
      <c r="FC237" s="24"/>
      <c r="FD237" s="24"/>
      <c r="FE237" s="24"/>
      <c r="FF237" s="24"/>
      <c r="FG237" s="24"/>
      <c r="FH237" s="24"/>
      <c r="FI237" s="24"/>
      <c r="FJ237" s="24"/>
    </row>
    <row r="238" spans="1:166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  <c r="CO238" s="24"/>
      <c r="CP238" s="24"/>
      <c r="CQ238" s="24"/>
      <c r="CR238" s="24"/>
      <c r="CS238" s="24"/>
      <c r="CT238" s="24"/>
      <c r="CU238" s="24"/>
      <c r="CV238" s="24"/>
      <c r="CW238" s="24"/>
      <c r="CX238" s="24"/>
      <c r="CY238" s="24"/>
      <c r="CZ238" s="24"/>
      <c r="DA238" s="24"/>
      <c r="DB238" s="24"/>
      <c r="DC238" s="24"/>
      <c r="DD238" s="24"/>
      <c r="DE238" s="24"/>
      <c r="DF238" s="24"/>
      <c r="DG238" s="24"/>
      <c r="DH238" s="24"/>
      <c r="DI238" s="24"/>
      <c r="DJ238" s="24"/>
      <c r="DK238" s="24"/>
      <c r="DL238" s="24"/>
      <c r="DM238" s="24"/>
      <c r="DN238" s="24"/>
      <c r="DO238" s="24"/>
      <c r="DP238" s="24"/>
      <c r="DQ238" s="24"/>
      <c r="DR238" s="24"/>
      <c r="DS238" s="24"/>
      <c r="DT238" s="24"/>
      <c r="DU238" s="24"/>
      <c r="DV238" s="24"/>
      <c r="DW238" s="24"/>
      <c r="DX238" s="24"/>
      <c r="DY238" s="24"/>
      <c r="DZ238" s="24"/>
      <c r="EA238" s="24"/>
      <c r="EB238" s="24"/>
      <c r="EC238" s="24"/>
      <c r="ED238" s="24"/>
      <c r="EE238" s="24"/>
      <c r="EF238" s="24"/>
      <c r="EG238" s="24"/>
      <c r="EH238" s="24"/>
      <c r="EI238" s="24"/>
      <c r="EJ238" s="24"/>
      <c r="EK238" s="24"/>
      <c r="EL238" s="24"/>
      <c r="EM238" s="24"/>
      <c r="EN238" s="24"/>
      <c r="EO238" s="24"/>
      <c r="EP238" s="24"/>
      <c r="EQ238" s="24"/>
      <c r="ER238" s="24"/>
      <c r="ES238" s="24"/>
      <c r="ET238" s="24"/>
      <c r="EU238" s="24"/>
      <c r="EV238" s="24"/>
      <c r="EW238" s="24"/>
      <c r="EX238" s="24"/>
      <c r="EY238" s="24"/>
      <c r="EZ238" s="24"/>
      <c r="FA238" s="24"/>
      <c r="FB238" s="24"/>
      <c r="FC238" s="24"/>
      <c r="FD238" s="24"/>
      <c r="FE238" s="24"/>
      <c r="FF238" s="24"/>
      <c r="FG238" s="24"/>
      <c r="FH238" s="24"/>
      <c r="FI238" s="24"/>
      <c r="FJ238" s="24"/>
    </row>
    <row r="239" spans="1:166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  <c r="CO239" s="24"/>
      <c r="CP239" s="24"/>
      <c r="CQ239" s="24"/>
      <c r="CR239" s="24"/>
      <c r="CS239" s="24"/>
      <c r="CT239" s="24"/>
      <c r="CU239" s="24"/>
      <c r="CV239" s="24"/>
      <c r="CW239" s="24"/>
      <c r="CX239" s="24"/>
      <c r="CY239" s="24"/>
      <c r="CZ239" s="24"/>
      <c r="DA239" s="24"/>
      <c r="DB239" s="24"/>
      <c r="DC239" s="24"/>
      <c r="DD239" s="24"/>
      <c r="DE239" s="24"/>
      <c r="DF239" s="24"/>
      <c r="DG239" s="24"/>
      <c r="DH239" s="24"/>
      <c r="DI239" s="24"/>
      <c r="DJ239" s="24"/>
      <c r="DK239" s="24"/>
      <c r="DL239" s="24"/>
      <c r="DM239" s="24"/>
      <c r="DN239" s="24"/>
      <c r="DO239" s="24"/>
      <c r="DP239" s="24"/>
      <c r="DQ239" s="24"/>
      <c r="DR239" s="24"/>
      <c r="DS239" s="24"/>
      <c r="DT239" s="24"/>
      <c r="DU239" s="24"/>
      <c r="DV239" s="24"/>
      <c r="DW239" s="24"/>
      <c r="DX239" s="24"/>
      <c r="DY239" s="24"/>
      <c r="DZ239" s="24"/>
      <c r="EA239" s="24"/>
      <c r="EB239" s="24"/>
      <c r="EC239" s="24"/>
      <c r="ED239" s="24"/>
      <c r="EE239" s="24"/>
      <c r="EF239" s="24"/>
      <c r="EG239" s="24"/>
      <c r="EH239" s="24"/>
      <c r="EI239" s="24"/>
      <c r="EJ239" s="24"/>
      <c r="EK239" s="24"/>
      <c r="EL239" s="24"/>
      <c r="EM239" s="24"/>
      <c r="EN239" s="24"/>
      <c r="EO239" s="24"/>
      <c r="EP239" s="24"/>
      <c r="EQ239" s="24"/>
      <c r="ER239" s="24"/>
      <c r="ES239" s="24"/>
      <c r="ET239" s="24"/>
      <c r="EU239" s="24"/>
      <c r="EV239" s="24"/>
      <c r="EW239" s="24"/>
      <c r="EX239" s="24"/>
      <c r="EY239" s="24"/>
      <c r="EZ239" s="24"/>
      <c r="FA239" s="24"/>
      <c r="FB239" s="24"/>
      <c r="FC239" s="24"/>
      <c r="FD239" s="24"/>
      <c r="FE239" s="24"/>
      <c r="FF239" s="24"/>
      <c r="FG239" s="24"/>
      <c r="FH239" s="24"/>
      <c r="FI239" s="24"/>
      <c r="FJ239" s="24"/>
    </row>
    <row r="240" spans="1:166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  <c r="CC240" s="24"/>
      <c r="CD240" s="24"/>
      <c r="CE240" s="24"/>
      <c r="CF240" s="24"/>
      <c r="CG240" s="24"/>
      <c r="CH240" s="24"/>
      <c r="CI240" s="24"/>
      <c r="CJ240" s="24"/>
      <c r="CK240" s="24"/>
      <c r="CL240" s="24"/>
      <c r="CM240" s="24"/>
      <c r="CN240" s="24"/>
      <c r="CO240" s="24"/>
      <c r="CP240" s="24"/>
      <c r="CQ240" s="24"/>
      <c r="CR240" s="24"/>
      <c r="CS240" s="24"/>
      <c r="CT240" s="24"/>
      <c r="CU240" s="24"/>
      <c r="CV240" s="24"/>
      <c r="CW240" s="24"/>
      <c r="CX240" s="24"/>
      <c r="CY240" s="24"/>
      <c r="CZ240" s="24"/>
      <c r="DA240" s="24"/>
      <c r="DB240" s="24"/>
      <c r="DC240" s="24"/>
      <c r="DD240" s="24"/>
      <c r="DE240" s="24"/>
      <c r="DF240" s="24"/>
      <c r="DG240" s="24"/>
      <c r="DH240" s="24"/>
      <c r="DI240" s="24"/>
      <c r="DJ240" s="24"/>
      <c r="DK240" s="24"/>
      <c r="DL240" s="24"/>
      <c r="DM240" s="24"/>
      <c r="DN240" s="24"/>
      <c r="DO240" s="24"/>
      <c r="DP240" s="24"/>
      <c r="DQ240" s="24"/>
      <c r="DR240" s="24"/>
      <c r="DS240" s="24"/>
      <c r="DT240" s="24"/>
      <c r="DU240" s="24"/>
      <c r="DV240" s="24"/>
      <c r="DW240" s="24"/>
      <c r="DX240" s="24"/>
      <c r="DY240" s="24"/>
      <c r="DZ240" s="24"/>
      <c r="EA240" s="24"/>
      <c r="EB240" s="24"/>
      <c r="EC240" s="24"/>
      <c r="ED240" s="24"/>
      <c r="EE240" s="24"/>
      <c r="EF240" s="24"/>
      <c r="EG240" s="24"/>
      <c r="EH240" s="24"/>
      <c r="EI240" s="24"/>
      <c r="EJ240" s="24"/>
      <c r="EK240" s="24"/>
      <c r="EL240" s="24"/>
      <c r="EM240" s="24"/>
      <c r="EN240" s="24"/>
      <c r="EO240" s="24"/>
      <c r="EP240" s="24"/>
      <c r="EQ240" s="24"/>
      <c r="ER240" s="24"/>
      <c r="ES240" s="24"/>
      <c r="ET240" s="24"/>
      <c r="EU240" s="24"/>
      <c r="EV240" s="24"/>
      <c r="EW240" s="24"/>
      <c r="EX240" s="24"/>
      <c r="EY240" s="24"/>
      <c r="EZ240" s="24"/>
      <c r="FA240" s="24"/>
      <c r="FB240" s="24"/>
      <c r="FC240" s="24"/>
      <c r="FD240" s="24"/>
      <c r="FE240" s="24"/>
      <c r="FF240" s="24"/>
      <c r="FG240" s="24"/>
      <c r="FH240" s="24"/>
      <c r="FI240" s="24"/>
      <c r="FJ240" s="24"/>
    </row>
    <row r="429" spans="2:71">
      <c r="D429" s="107"/>
      <c r="BK429" s="22" t="s">
        <v>245</v>
      </c>
      <c r="BN429" s="107"/>
    </row>
    <row r="430" spans="2:71">
      <c r="B430" s="22" t="str">
        <f>IF(COUNTIF(E431:F445,E431)&gt;COUNTIF(E431:F445,F431),E431,F431)</f>
        <v>Каманда 1</v>
      </c>
      <c r="U430" s="22" t="s">
        <v>160</v>
      </c>
      <c r="AZ430" s="108">
        <f>AN445</f>
        <v>2.2277777777777779</v>
      </c>
      <c r="BA430" s="108"/>
      <c r="BB430" s="108"/>
      <c r="BF430" s="108">
        <f>AQ445</f>
        <v>1.7944444444444445</v>
      </c>
      <c r="BG430" s="108"/>
      <c r="BH430" s="108"/>
      <c r="BK430" s="109">
        <f>BB434</f>
        <v>3.9906436759430744E-2</v>
      </c>
      <c r="BL430" s="107" t="s">
        <v>181</v>
      </c>
      <c r="BN430" s="107"/>
      <c r="BO430" s="109">
        <f>SUM(BB434,BB435,BE434,BE435,BH434,BH435)</f>
        <v>0.23486524780964613</v>
      </c>
      <c r="BP430" s="108">
        <f>1/BO430</f>
        <v>4.2577606066712823</v>
      </c>
      <c r="BQ430" s="22">
        <v>1</v>
      </c>
      <c r="BR430" s="22" t="s">
        <v>161</v>
      </c>
      <c r="BS430" s="22">
        <v>2</v>
      </c>
    </row>
    <row r="431" spans="2:71">
      <c r="B431" s="22">
        <v>1</v>
      </c>
      <c r="C431" s="107" t="s">
        <v>246</v>
      </c>
      <c r="D431" s="107" t="s">
        <v>247</v>
      </c>
      <c r="E431" s="113" t="str">
        <f>DATA!C2</f>
        <v>Каманда 1</v>
      </c>
      <c r="F431" s="113">
        <f>DATA!D2</f>
        <v>1</v>
      </c>
      <c r="G431" s="107" t="str">
        <f>DATA!E2</f>
        <v>1:1</v>
      </c>
      <c r="H431" s="107"/>
      <c r="I431" s="22">
        <f t="shared" ref="I431:I440" si="132">SEARCH(":",G431)</f>
        <v>2</v>
      </c>
      <c r="J431" s="107">
        <f t="shared" ref="J431:J440" si="133">LEFT(G431,I431-1)*1</f>
        <v>1</v>
      </c>
      <c r="K431" s="107">
        <f t="shared" ref="K431:K440" si="134">MID(G431,I431+1,4)*1</f>
        <v>1</v>
      </c>
      <c r="L431" s="22">
        <f>IF(OR(J431="",K431=""),"",IF(E431=$B$430,J431,K431))</f>
        <v>1</v>
      </c>
      <c r="M431" s="22">
        <f>IF(OR(J431="",K431=""),"",IF(E431=$B$430,K431,J431))</f>
        <v>1</v>
      </c>
      <c r="N431" s="22">
        <f>IF(OR(L431="",M431=""),"",IF(L431&gt;M431,3,IF(L431&lt;M431,0,1)))</f>
        <v>1</v>
      </c>
      <c r="O431" s="22">
        <f>IF(N431="","",IF(N431=3,1,IF(N431=1,0.5,IF(N431=0,0))))</f>
        <v>0.5</v>
      </c>
      <c r="P431" s="22" t="str">
        <f>IF(N431="","",IF(N431=1,"D",IF(N431=0,"L",IF(N431=3,"W"))))</f>
        <v>D</v>
      </c>
      <c r="Q431" s="22" t="str">
        <f>IF(S431&gt;2.5,"over 2.5 goals","under 2.5 goals")</f>
        <v>under 2.5 goals</v>
      </c>
      <c r="R431" s="22">
        <f>IF(OR(L431="",M431=""),"",L431-M431)</f>
        <v>0</v>
      </c>
      <c r="S431" s="22">
        <f>IF(OR(J431="",K431=""),"",J431+K431)</f>
        <v>2</v>
      </c>
      <c r="U431" s="22" t="str">
        <f>B430</f>
        <v>Каманда 1</v>
      </c>
      <c r="AN431" s="22">
        <f>COUNT(AB432:AB441)</f>
        <v>10</v>
      </c>
      <c r="AO431" s="22">
        <f>COUNT(J431:J440)</f>
        <v>10</v>
      </c>
      <c r="AQ431" s="22">
        <f>COUNT(J448:J462)</f>
        <v>10</v>
      </c>
      <c r="AR431" s="22">
        <f>COUNT(AB450:AB464)</f>
        <v>10</v>
      </c>
      <c r="AZ431" s="108"/>
      <c r="BA431" s="108"/>
      <c r="BB431" s="108"/>
      <c r="BF431" s="108"/>
      <c r="BG431" s="108"/>
      <c r="BH431" s="108"/>
      <c r="BK431" s="109">
        <f t="shared" ref="BK431:BK457" si="135">BB435</f>
        <v>4.4451336501477035E-2</v>
      </c>
      <c r="BL431" s="107" t="s">
        <v>182</v>
      </c>
      <c r="BN431" s="107"/>
      <c r="BO431" s="109">
        <f>SUM(BB436:BB461,BE436:BE441,BH436:BH461)</f>
        <v>0.76245089627713336</v>
      </c>
      <c r="BP431" s="108">
        <f t="shared" ref="BP431:BP452" si="136">1/BO431</f>
        <v>1.3115598720950588</v>
      </c>
      <c r="BQ431" s="109"/>
      <c r="BR431" s="109"/>
      <c r="BS431" s="109"/>
    </row>
    <row r="432" spans="2:71">
      <c r="B432" s="22">
        <f>1+B431</f>
        <v>2</v>
      </c>
      <c r="C432" s="107" t="s">
        <v>248</v>
      </c>
      <c r="D432" s="107" t="s">
        <v>247</v>
      </c>
      <c r="E432" s="22" t="str">
        <f>DATA!C3</f>
        <v>Каманда 1</v>
      </c>
      <c r="F432" s="113">
        <f>DATA!D3</f>
        <v>2</v>
      </c>
      <c r="G432" s="107" t="str">
        <f>DATA!E3</f>
        <v>3:3</v>
      </c>
      <c r="H432" s="107"/>
      <c r="I432" s="22">
        <f t="shared" si="132"/>
        <v>2</v>
      </c>
      <c r="J432" s="107">
        <f t="shared" si="133"/>
        <v>3</v>
      </c>
      <c r="K432" s="107">
        <f t="shared" si="134"/>
        <v>3</v>
      </c>
      <c r="L432" s="22">
        <f>IF(OR(J432="",K432=""),"",IF(E432=$B$430,J432,K432))</f>
        <v>3</v>
      </c>
      <c r="M432" s="22">
        <f>IF(OR(J432="",K432=""),"",IF(E432=$B$430,K432,J432))</f>
        <v>3</v>
      </c>
      <c r="N432" s="22">
        <f t="shared" ref="N432:N440" si="137">IF(OR(L432="",M432=""),"",IF(L432&gt;M432,3,IF(L432&lt;M432,0,1)))</f>
        <v>1</v>
      </c>
      <c r="O432" s="22">
        <f t="shared" ref="O432:O440" si="138">IF(N432="","",IF(N432=3,1,IF(N432=1,0.5,IF(N432=0,0))))</f>
        <v>0.5</v>
      </c>
      <c r="P432" s="22" t="str">
        <f t="shared" ref="P432:P440" si="139">IF(N432="","",IF(N432=1,"D",IF(N432=0,"L",IF(N432=3,"W"))))</f>
        <v>D</v>
      </c>
      <c r="Q432" s="22" t="str">
        <f t="shared" ref="Q432:Q440" si="140">IF(S432&gt;2.5,"over 2.5 goals","under 2.5 goals")</f>
        <v>over 2.5 goals</v>
      </c>
      <c r="R432" s="22">
        <f t="shared" ref="R432:R440" si="141">IF(OR(L432="",M432=""),"",L432-M432)</f>
        <v>0</v>
      </c>
      <c r="S432" s="22">
        <f t="shared" ref="S432:S440" si="142">IF(OR(J432="",K432=""),"",J432+K432)</f>
        <v>6</v>
      </c>
      <c r="U432" s="22">
        <v>1</v>
      </c>
      <c r="V432" s="22" t="str">
        <f>IF(E431=$B$430,E431,"-")</f>
        <v>Каманда 1</v>
      </c>
      <c r="W432" s="22">
        <f>IF(E431=$B$430,F431,"-")</f>
        <v>1</v>
      </c>
      <c r="X432" s="22" t="str">
        <f t="shared" ref="X432:X441" si="143">IF(AND(V432=E431,W432=F431),G431,"-")</f>
        <v>1:1</v>
      </c>
      <c r="Y432" s="22">
        <f t="shared" ref="Y432:Y441" si="144">SEARCH(":",X432)</f>
        <v>2</v>
      </c>
      <c r="Z432" s="107">
        <f t="shared" ref="Z432:Z441" si="145">LEFT(X432,Y432-1)*1</f>
        <v>1</v>
      </c>
      <c r="AA432" s="107">
        <f t="shared" ref="AA432:AA441" si="146">MID(X432,Y432+1,4)*1</f>
        <v>1</v>
      </c>
      <c r="AB432" s="22">
        <f>IFERROR(Z432,"")</f>
        <v>1</v>
      </c>
      <c r="AC432" s="22">
        <f>IFERROR(AA432,"")</f>
        <v>1</v>
      </c>
      <c r="AD432" s="22">
        <f>IF(OR(AB432="",AC432=""),"",AB432)</f>
        <v>1</v>
      </c>
      <c r="AE432" s="22">
        <f>IF(OR(AB432="",AC432=""),"",AC432)</f>
        <v>1</v>
      </c>
      <c r="AF432" s="22">
        <f>IF(OR(AD432="",AE432=""),"",IF(AD432&gt;AE432,3,IF(AD432&lt;AE432,0,1)))</f>
        <v>1</v>
      </c>
      <c r="AG432" s="22">
        <f>IF(AF432="","",IF(AF432=3,1,IF(AF432=1,0.5,IF(AF432=0,0))))</f>
        <v>0.5</v>
      </c>
      <c r="AH432" s="22" t="str">
        <f>IF(AF432="","",IF(AF432=1,"D",IF(AF432=0,"L",IF(AF432=3,"W"))))</f>
        <v>D</v>
      </c>
      <c r="AI432" s="22">
        <f>IF(OR(AD432="",AE432=""),"",AD432-AE432)</f>
        <v>0</v>
      </c>
      <c r="AJ432" s="22">
        <f>SUM(AD432:AE432)</f>
        <v>2</v>
      </c>
      <c r="AN432" s="22">
        <f>SUM(AD432:AD446)</f>
        <v>26</v>
      </c>
      <c r="AO432" s="22">
        <f>SUM(L431:L445)</f>
        <v>26</v>
      </c>
      <c r="AQ432" s="22">
        <f>SUM(L448:L457)</f>
        <v>18</v>
      </c>
      <c r="AR432" s="22">
        <f>SUM(AD450:AD464)</f>
        <v>18</v>
      </c>
      <c r="AY432" s="108"/>
      <c r="AZ432" s="22">
        <v>1</v>
      </c>
      <c r="BC432" s="22" t="s">
        <v>17</v>
      </c>
      <c r="BF432" s="22">
        <v>2</v>
      </c>
      <c r="BK432" s="109">
        <f t="shared" si="135"/>
        <v>3.3009233216837575E-2</v>
      </c>
      <c r="BL432" s="107" t="s">
        <v>183</v>
      </c>
      <c r="BN432" s="107"/>
      <c r="BO432" s="109">
        <f>SUM(BB441:BB461,BE435:BE441,BH441:BH461)</f>
        <v>0.74165596852030891</v>
      </c>
      <c r="BP432" s="108">
        <f t="shared" si="136"/>
        <v>1.3483340557416641</v>
      </c>
      <c r="BQ432" s="108"/>
      <c r="BR432" s="108"/>
      <c r="BS432" s="108"/>
    </row>
    <row r="433" spans="2:71">
      <c r="B433" s="22">
        <f t="shared" ref="B433:B440" si="147">1+B432</f>
        <v>3</v>
      </c>
      <c r="C433" s="107" t="s">
        <v>249</v>
      </c>
      <c r="D433" s="107" t="s">
        <v>247</v>
      </c>
      <c r="E433" s="113" t="str">
        <f>DATA!C4</f>
        <v>Каманда 1</v>
      </c>
      <c r="F433" s="113">
        <f>DATA!D4</f>
        <v>3</v>
      </c>
      <c r="G433" s="107" t="str">
        <f>DATA!E4</f>
        <v>4:3</v>
      </c>
      <c r="H433" s="107"/>
      <c r="I433" s="22">
        <f t="shared" si="132"/>
        <v>2</v>
      </c>
      <c r="J433" s="107">
        <f t="shared" si="133"/>
        <v>4</v>
      </c>
      <c r="K433" s="107">
        <f t="shared" si="134"/>
        <v>3</v>
      </c>
      <c r="L433" s="22">
        <f t="shared" ref="L433:L440" si="148">IF(OR(J433="",K433=""),"",IF(E433=$B$430,J433,K433))</f>
        <v>4</v>
      </c>
      <c r="M433" s="22">
        <f t="shared" ref="M433:M440" si="149">IF(OR(J433="",K433=""),"",IF(E433=$B$430,K433,J433))</f>
        <v>3</v>
      </c>
      <c r="N433" s="22">
        <f t="shared" si="137"/>
        <v>3</v>
      </c>
      <c r="O433" s="22">
        <f t="shared" si="138"/>
        <v>1</v>
      </c>
      <c r="P433" s="22" t="str">
        <f t="shared" si="139"/>
        <v>W</v>
      </c>
      <c r="Q433" s="22" t="str">
        <f t="shared" si="140"/>
        <v>over 2.5 goals</v>
      </c>
      <c r="R433" s="22">
        <f t="shared" si="141"/>
        <v>1</v>
      </c>
      <c r="S433" s="22">
        <f t="shared" si="142"/>
        <v>7</v>
      </c>
      <c r="U433" s="22">
        <f>1+U432</f>
        <v>2</v>
      </c>
      <c r="V433" s="22" t="str">
        <f>IF(E432=$B$430,E432,"-")</f>
        <v>Каманда 1</v>
      </c>
      <c r="W433" s="22">
        <f>IF(E432=$B$430,F432,"-")</f>
        <v>2</v>
      </c>
      <c r="X433" s="22" t="str">
        <f t="shared" si="143"/>
        <v>3:3</v>
      </c>
      <c r="Y433" s="22">
        <f t="shared" si="144"/>
        <v>2</v>
      </c>
      <c r="Z433" s="107">
        <f t="shared" si="145"/>
        <v>3</v>
      </c>
      <c r="AA433" s="107">
        <f t="shared" si="146"/>
        <v>3</v>
      </c>
      <c r="AB433" s="22">
        <f t="shared" ref="AB433:AC441" si="150">IFERROR(Z433,"")</f>
        <v>3</v>
      </c>
      <c r="AC433" s="22">
        <f t="shared" si="150"/>
        <v>3</v>
      </c>
      <c r="AD433" s="22">
        <f t="shared" ref="AD433:AD441" si="151">IF(OR(AB433="",AC433=""),"",AB433)</f>
        <v>3</v>
      </c>
      <c r="AE433" s="22">
        <f t="shared" ref="AE433:AE441" si="152">IF(OR(AB433="",AC433=""),"",AC433)</f>
        <v>3</v>
      </c>
      <c r="AF433" s="22">
        <f t="shared" ref="AF433:AF441" si="153">IF(OR(AD433="",AE433=""),"",IF(AD433&gt;AE433,3,IF(AD433&lt;AE433,0,1)))</f>
        <v>1</v>
      </c>
      <c r="AG433" s="22">
        <f t="shared" ref="AG433:AG441" si="154">IF(AF433="","",IF(AF433=3,1,IF(AF433=1,0.5,IF(AF433=0,0))))</f>
        <v>0.5</v>
      </c>
      <c r="AH433" s="22" t="str">
        <f t="shared" ref="AH433:AH441" si="155">IF(AF433="","",IF(AF433=1,"D",IF(AF433=0,"L",IF(AF433=3,"W"))))</f>
        <v>D</v>
      </c>
      <c r="AI433" s="22">
        <f t="shared" ref="AI433:AI441" si="156">IF(OR(AD433="",AE433=""),"",AD433-AE433)</f>
        <v>0</v>
      </c>
      <c r="AJ433" s="22">
        <f t="shared" ref="AJ433:AJ441" si="157">SUM(AD433:AE433)</f>
        <v>6</v>
      </c>
      <c r="AN433" s="22">
        <f>SUM(AE432:AE441)</f>
        <v>31</v>
      </c>
      <c r="AO433" s="22">
        <f>SUM(M431:M445)</f>
        <v>31</v>
      </c>
      <c r="AQ433" s="22">
        <f>SUM(M448:M457)</f>
        <v>33</v>
      </c>
      <c r="AR433" s="22">
        <f>SUM(AE450:AE464)</f>
        <v>33</v>
      </c>
      <c r="AY433" s="108"/>
      <c r="BK433" s="109">
        <f t="shared" si="135"/>
        <v>1.8384309055488709E-2</v>
      </c>
      <c r="BL433" s="107" t="s">
        <v>184</v>
      </c>
      <c r="BN433" s="107"/>
      <c r="BO433" s="109">
        <f>SUM(BB434:BB440,BE434,BH434:BH440)</f>
        <v>0.25566017556647058</v>
      </c>
      <c r="BP433" s="108">
        <f t="shared" si="136"/>
        <v>3.9114422016815213</v>
      </c>
    </row>
    <row r="434" spans="2:71">
      <c r="B434" s="22">
        <f t="shared" si="147"/>
        <v>4</v>
      </c>
      <c r="C434" s="107" t="s">
        <v>250</v>
      </c>
      <c r="D434" s="107" t="s">
        <v>247</v>
      </c>
      <c r="E434" s="22" t="str">
        <f>DATA!C5</f>
        <v>Каманда 1</v>
      </c>
      <c r="F434" s="113">
        <f>DATA!D5</f>
        <v>4</v>
      </c>
      <c r="G434" s="107" t="str">
        <f>DATA!E5</f>
        <v>1:4</v>
      </c>
      <c r="H434" s="107"/>
      <c r="I434" s="22">
        <f t="shared" si="132"/>
        <v>2</v>
      </c>
      <c r="J434" s="107">
        <f t="shared" si="133"/>
        <v>1</v>
      </c>
      <c r="K434" s="107">
        <f t="shared" si="134"/>
        <v>4</v>
      </c>
      <c r="L434" s="22">
        <f t="shared" si="148"/>
        <v>1</v>
      </c>
      <c r="M434" s="22">
        <f t="shared" si="149"/>
        <v>4</v>
      </c>
      <c r="N434" s="22">
        <f t="shared" si="137"/>
        <v>0</v>
      </c>
      <c r="O434" s="22">
        <f t="shared" si="138"/>
        <v>0</v>
      </c>
      <c r="P434" s="22" t="str">
        <f t="shared" si="139"/>
        <v>L</v>
      </c>
      <c r="Q434" s="22" t="str">
        <f t="shared" si="140"/>
        <v>over 2.5 goals</v>
      </c>
      <c r="R434" s="22">
        <f t="shared" si="141"/>
        <v>-3</v>
      </c>
      <c r="S434" s="22">
        <f t="shared" si="142"/>
        <v>5</v>
      </c>
      <c r="U434" s="22">
        <f t="shared" ref="U434:U441" si="158">1+U433</f>
        <v>3</v>
      </c>
      <c r="V434" s="22" t="str">
        <f>IF(E433=$B$430,E433,"-")</f>
        <v>Каманда 1</v>
      </c>
      <c r="W434" s="22">
        <f t="shared" ref="W434:W441" si="159">IF(E433=$B$430,F433,"-")</f>
        <v>3</v>
      </c>
      <c r="X434" s="22" t="str">
        <f t="shared" si="143"/>
        <v>4:3</v>
      </c>
      <c r="Y434" s="22">
        <f t="shared" si="144"/>
        <v>2</v>
      </c>
      <c r="Z434" s="107">
        <f t="shared" si="145"/>
        <v>4</v>
      </c>
      <c r="AA434" s="107">
        <f t="shared" si="146"/>
        <v>3</v>
      </c>
      <c r="AB434" s="22">
        <f t="shared" si="150"/>
        <v>4</v>
      </c>
      <c r="AC434" s="22">
        <f t="shared" si="150"/>
        <v>3</v>
      </c>
      <c r="AD434" s="22">
        <f t="shared" si="151"/>
        <v>4</v>
      </c>
      <c r="AE434" s="22">
        <f t="shared" si="152"/>
        <v>3</v>
      </c>
      <c r="AF434" s="22">
        <f>IF(OR(AD434="",AE434=""),"",IF(AD434&gt;AE434,3,IF(AD434&lt;AE434,0,1)))</f>
        <v>3</v>
      </c>
      <c r="AG434" s="22">
        <f t="shared" si="154"/>
        <v>1</v>
      </c>
      <c r="AH434" s="22" t="str">
        <f t="shared" si="155"/>
        <v>W</v>
      </c>
      <c r="AI434" s="22">
        <f t="shared" si="156"/>
        <v>1</v>
      </c>
      <c r="AJ434" s="22">
        <f t="shared" si="157"/>
        <v>7</v>
      </c>
      <c r="AN434" s="108">
        <f>AN432/AN431</f>
        <v>2.6</v>
      </c>
      <c r="AO434" s="108">
        <f>AO432/AO431</f>
        <v>2.6</v>
      </c>
      <c r="AQ434" s="108">
        <f>AQ432/AQ431</f>
        <v>1.8</v>
      </c>
      <c r="AR434" s="108">
        <f>AR432/AR431</f>
        <v>1.8</v>
      </c>
      <c r="AY434" s="108"/>
      <c r="AZ434" s="22">
        <v>1</v>
      </c>
      <c r="BA434" s="22">
        <v>0</v>
      </c>
      <c r="BB434" s="109">
        <f>((POISSON(AZ434,AZ430,FALSE)*POISSON(BA434,BF430,FALSE)))*100%</f>
        <v>3.9906436759430744E-2</v>
      </c>
      <c r="BC434" s="22">
        <v>0</v>
      </c>
      <c r="BD434" s="22">
        <v>0</v>
      </c>
      <c r="BE434" s="109">
        <f>((POISSON(BC434,$AZ$430,FALSE)*POISSON(BD434,$BF$430,FALSE)))*100%</f>
        <v>1.7913113757350458E-2</v>
      </c>
      <c r="BF434" s="22">
        <v>0</v>
      </c>
      <c r="BG434" s="22">
        <v>1</v>
      </c>
      <c r="BH434" s="109">
        <f>((POISSON(BF434,$AZ$430,FALSE)*POISSON(BG434,$BF$430,FALSE)))*100%</f>
        <v>3.2144087464578877E-2</v>
      </c>
      <c r="BK434" s="109">
        <f t="shared" si="135"/>
        <v>8.1912310347232974E-3</v>
      </c>
      <c r="BL434" s="107" t="s">
        <v>185</v>
      </c>
      <c r="BN434" s="107"/>
      <c r="BO434" s="109">
        <f>SUM(BB434:BB461,BE435:BE441,BH434:BH461)</f>
        <v>0.9794030303294291</v>
      </c>
      <c r="BP434" s="108">
        <f t="shared" si="136"/>
        <v>1.0210301265492745</v>
      </c>
    </row>
    <row r="435" spans="2:71">
      <c r="B435" s="22">
        <f t="shared" si="147"/>
        <v>5</v>
      </c>
      <c r="C435" s="107" t="s">
        <v>251</v>
      </c>
      <c r="D435" s="107" t="s">
        <v>247</v>
      </c>
      <c r="E435" s="113" t="str">
        <f>DATA!C6</f>
        <v>Каманда 1</v>
      </c>
      <c r="F435" s="113">
        <f>DATA!D6</f>
        <v>5</v>
      </c>
      <c r="G435" s="107" t="str">
        <f>DATA!E6</f>
        <v>3:3</v>
      </c>
      <c r="H435" s="107"/>
      <c r="I435" s="22">
        <f t="shared" si="132"/>
        <v>2</v>
      </c>
      <c r="J435" s="107">
        <f t="shared" si="133"/>
        <v>3</v>
      </c>
      <c r="K435" s="107">
        <f t="shared" si="134"/>
        <v>3</v>
      </c>
      <c r="L435" s="22">
        <f t="shared" si="148"/>
        <v>3</v>
      </c>
      <c r="M435" s="22">
        <f t="shared" si="149"/>
        <v>3</v>
      </c>
      <c r="N435" s="22">
        <f t="shared" si="137"/>
        <v>1</v>
      </c>
      <c r="O435" s="22">
        <f t="shared" si="138"/>
        <v>0.5</v>
      </c>
      <c r="P435" s="22" t="str">
        <f t="shared" si="139"/>
        <v>D</v>
      </c>
      <c r="Q435" s="22" t="str">
        <f t="shared" si="140"/>
        <v>over 2.5 goals</v>
      </c>
      <c r="R435" s="22">
        <f t="shared" si="141"/>
        <v>0</v>
      </c>
      <c r="S435" s="22">
        <f t="shared" si="142"/>
        <v>6</v>
      </c>
      <c r="U435" s="22">
        <f t="shared" si="158"/>
        <v>4</v>
      </c>
      <c r="V435" s="22" t="str">
        <f t="shared" ref="V435:V441" si="160">IF(E434=$B$430,E434,"-")</f>
        <v>Каманда 1</v>
      </c>
      <c r="W435" s="22">
        <f t="shared" si="159"/>
        <v>4</v>
      </c>
      <c r="X435" s="22" t="str">
        <f t="shared" si="143"/>
        <v>1:4</v>
      </c>
      <c r="Y435" s="22">
        <f t="shared" si="144"/>
        <v>2</v>
      </c>
      <c r="Z435" s="107">
        <f t="shared" si="145"/>
        <v>1</v>
      </c>
      <c r="AA435" s="107">
        <f t="shared" si="146"/>
        <v>4</v>
      </c>
      <c r="AB435" s="22">
        <f t="shared" si="150"/>
        <v>1</v>
      </c>
      <c r="AC435" s="22">
        <f t="shared" si="150"/>
        <v>4</v>
      </c>
      <c r="AD435" s="22">
        <f t="shared" si="151"/>
        <v>1</v>
      </c>
      <c r="AE435" s="22">
        <f t="shared" si="152"/>
        <v>4</v>
      </c>
      <c r="AF435" s="22">
        <f t="shared" si="153"/>
        <v>0</v>
      </c>
      <c r="AG435" s="22">
        <f t="shared" si="154"/>
        <v>0</v>
      </c>
      <c r="AH435" s="22" t="str">
        <f t="shared" si="155"/>
        <v>L</v>
      </c>
      <c r="AI435" s="22">
        <f t="shared" si="156"/>
        <v>-3</v>
      </c>
      <c r="AJ435" s="22">
        <f t="shared" si="157"/>
        <v>5</v>
      </c>
      <c r="AN435" s="108">
        <f>AN433/AN431</f>
        <v>3.1</v>
      </c>
      <c r="AO435" s="108">
        <f>AO433/AO431</f>
        <v>3.1</v>
      </c>
      <c r="AQ435" s="108">
        <f>AQ433/AQ431</f>
        <v>3.3</v>
      </c>
      <c r="AR435" s="108">
        <f>AR433/AR431</f>
        <v>3.3</v>
      </c>
      <c r="AZ435" s="22">
        <v>2</v>
      </c>
      <c r="BA435" s="22">
        <v>0</v>
      </c>
      <c r="BB435" s="109">
        <f>((POISSON(AZ435,AZ430,FALSE)*POISSON(BA435,BF430,FALSE)))*100%</f>
        <v>4.4451336501477035E-2</v>
      </c>
      <c r="BC435" s="22">
        <v>1</v>
      </c>
      <c r="BD435" s="22">
        <v>1</v>
      </c>
      <c r="BE435" s="109">
        <f>((POISSON(BC435,$AZ$430,FALSE)*POISSON(BD435,$BF$430,FALSE)))*100%</f>
        <v>7.1609883740534064E-2</v>
      </c>
      <c r="BF435" s="22">
        <v>0</v>
      </c>
      <c r="BG435" s="22">
        <v>2</v>
      </c>
      <c r="BH435" s="109">
        <f>((POISSON(BF435,$AZ$430,FALSE)*POISSON(BG435,$BF$430,FALSE)))*100%</f>
        <v>2.8840389586274946E-2</v>
      </c>
      <c r="BK435" s="109">
        <f t="shared" si="135"/>
        <v>3.0413737453000396E-3</v>
      </c>
      <c r="BL435" s="107" t="s">
        <v>186</v>
      </c>
      <c r="BN435" s="107"/>
      <c r="BO435" s="109">
        <f>BE434</f>
        <v>1.7913113757350458E-2</v>
      </c>
      <c r="BP435" s="108">
        <f t="shared" si="136"/>
        <v>55.825023697494274</v>
      </c>
    </row>
    <row r="436" spans="2:71">
      <c r="B436" s="22">
        <f t="shared" si="147"/>
        <v>6</v>
      </c>
      <c r="C436" s="107" t="s">
        <v>252</v>
      </c>
      <c r="D436" s="107" t="s">
        <v>247</v>
      </c>
      <c r="E436" s="22" t="str">
        <f>DATA!C7</f>
        <v>Каманда 1</v>
      </c>
      <c r="F436" s="113">
        <f>DATA!D7</f>
        <v>6</v>
      </c>
      <c r="G436" s="107" t="str">
        <f>DATA!E7</f>
        <v>3:2</v>
      </c>
      <c r="H436" s="107"/>
      <c r="I436" s="22">
        <f t="shared" si="132"/>
        <v>2</v>
      </c>
      <c r="J436" s="107">
        <f t="shared" si="133"/>
        <v>3</v>
      </c>
      <c r="K436" s="107">
        <f t="shared" si="134"/>
        <v>2</v>
      </c>
      <c r="L436" s="22">
        <f t="shared" si="148"/>
        <v>3</v>
      </c>
      <c r="M436" s="22">
        <f t="shared" si="149"/>
        <v>2</v>
      </c>
      <c r="N436" s="22">
        <f t="shared" si="137"/>
        <v>3</v>
      </c>
      <c r="O436" s="22">
        <f t="shared" si="138"/>
        <v>1</v>
      </c>
      <c r="P436" s="22" t="str">
        <f t="shared" si="139"/>
        <v>W</v>
      </c>
      <c r="Q436" s="22" t="str">
        <f t="shared" si="140"/>
        <v>over 2.5 goals</v>
      </c>
      <c r="R436" s="22">
        <f t="shared" si="141"/>
        <v>1</v>
      </c>
      <c r="S436" s="22">
        <f t="shared" si="142"/>
        <v>5</v>
      </c>
      <c r="U436" s="22">
        <f t="shared" si="158"/>
        <v>5</v>
      </c>
      <c r="V436" s="22" t="str">
        <f t="shared" si="160"/>
        <v>Каманда 1</v>
      </c>
      <c r="W436" s="22">
        <f t="shared" si="159"/>
        <v>5</v>
      </c>
      <c r="X436" s="22" t="str">
        <f t="shared" si="143"/>
        <v>3:3</v>
      </c>
      <c r="Y436" s="22">
        <f t="shared" si="144"/>
        <v>2</v>
      </c>
      <c r="Z436" s="107">
        <f t="shared" si="145"/>
        <v>3</v>
      </c>
      <c r="AA436" s="107">
        <f t="shared" si="146"/>
        <v>3</v>
      </c>
      <c r="AB436" s="22">
        <f t="shared" si="150"/>
        <v>3</v>
      </c>
      <c r="AC436" s="22">
        <f t="shared" si="150"/>
        <v>3</v>
      </c>
      <c r="AD436" s="22">
        <f t="shared" si="151"/>
        <v>3</v>
      </c>
      <c r="AE436" s="22">
        <f t="shared" si="152"/>
        <v>3</v>
      </c>
      <c r="AF436" s="22">
        <f t="shared" si="153"/>
        <v>1</v>
      </c>
      <c r="AG436" s="22">
        <f t="shared" si="154"/>
        <v>0.5</v>
      </c>
      <c r="AH436" s="22" t="str">
        <f t="shared" si="155"/>
        <v>D</v>
      </c>
      <c r="AI436" s="22">
        <f t="shared" si="156"/>
        <v>0</v>
      </c>
      <c r="AJ436" s="22">
        <f t="shared" si="157"/>
        <v>6</v>
      </c>
      <c r="AL436" s="108"/>
      <c r="AN436" s="110">
        <f>COUNTIF(AH432:AH441,"W")/AN431</f>
        <v>0.2</v>
      </c>
      <c r="AO436" s="110">
        <f>COUNTIF(P431:P440,"W")/AO431</f>
        <v>0.2</v>
      </c>
      <c r="AQ436" s="110">
        <f>COUNTIF(P448:P457,"W")/AQ431</f>
        <v>0.1</v>
      </c>
      <c r="AR436" s="110">
        <f>COUNTIF(AH450:AH459,"W")/AR431</f>
        <v>0.1</v>
      </c>
      <c r="AT436" s="108"/>
      <c r="AZ436" s="22">
        <v>3</v>
      </c>
      <c r="BA436" s="22">
        <v>0</v>
      </c>
      <c r="BB436" s="109">
        <f>((POISSON(AZ436,AZ430,FALSE)*POISSON(BA436,BF430,FALSE)))*100%</f>
        <v>3.3009233216837575E-2</v>
      </c>
      <c r="BC436" s="22">
        <v>2</v>
      </c>
      <c r="BD436" s="22">
        <v>2</v>
      </c>
      <c r="BE436" s="109">
        <f t="shared" ref="BE436:BE441" si="161">((POISSON(BC436,$AZ$430,FALSE)*POISSON(BD436,$BF$430,FALSE)))*100%</f>
        <v>7.1567337744793194E-2</v>
      </c>
      <c r="BF436" s="22">
        <v>0</v>
      </c>
      <c r="BG436" s="22">
        <v>3</v>
      </c>
      <c r="BH436" s="109">
        <f t="shared" ref="BH436:BH461" si="162">((POISSON(BF436,$AZ$430,FALSE)*POISSON(BG436,$BF$430,FALSE)))*100%</f>
        <v>1.7250825622901488E-2</v>
      </c>
      <c r="BK436" s="109">
        <f t="shared" si="135"/>
        <v>9.6792926338517301E-4</v>
      </c>
      <c r="BL436" s="107" t="s">
        <v>187</v>
      </c>
      <c r="BN436" s="107"/>
      <c r="BO436" s="109">
        <f>SUM(BB435:BB461,BE435:BE441,BH435:BH461)</f>
        <v>0.9073525061054194</v>
      </c>
      <c r="BP436" s="108">
        <f t="shared" si="136"/>
        <v>1.1021074976606904</v>
      </c>
    </row>
    <row r="437" spans="2:71">
      <c r="B437" s="22">
        <f t="shared" si="147"/>
        <v>7</v>
      </c>
      <c r="C437" s="107" t="s">
        <v>253</v>
      </c>
      <c r="D437" s="107" t="s">
        <v>247</v>
      </c>
      <c r="E437" s="113" t="str">
        <f>DATA!C8</f>
        <v>Каманда 1</v>
      </c>
      <c r="F437" s="113">
        <f>DATA!D8</f>
        <v>7</v>
      </c>
      <c r="G437" s="107" t="str">
        <f>DATA!E8</f>
        <v>3:3</v>
      </c>
      <c r="H437" s="107"/>
      <c r="I437" s="22">
        <f t="shared" si="132"/>
        <v>2</v>
      </c>
      <c r="J437" s="107">
        <f t="shared" si="133"/>
        <v>3</v>
      </c>
      <c r="K437" s="107">
        <f t="shared" si="134"/>
        <v>3</v>
      </c>
      <c r="L437" s="22">
        <f t="shared" si="148"/>
        <v>3</v>
      </c>
      <c r="M437" s="22">
        <f t="shared" si="149"/>
        <v>3</v>
      </c>
      <c r="N437" s="22">
        <f t="shared" si="137"/>
        <v>1</v>
      </c>
      <c r="O437" s="22">
        <f t="shared" si="138"/>
        <v>0.5</v>
      </c>
      <c r="P437" s="22" t="str">
        <f t="shared" si="139"/>
        <v>D</v>
      </c>
      <c r="Q437" s="22" t="str">
        <f t="shared" si="140"/>
        <v>over 2.5 goals</v>
      </c>
      <c r="R437" s="22">
        <f t="shared" si="141"/>
        <v>0</v>
      </c>
      <c r="S437" s="22">
        <f t="shared" si="142"/>
        <v>6</v>
      </c>
      <c r="U437" s="22">
        <f t="shared" si="158"/>
        <v>6</v>
      </c>
      <c r="V437" s="22" t="str">
        <f t="shared" si="160"/>
        <v>Каманда 1</v>
      </c>
      <c r="W437" s="22">
        <f t="shared" si="159"/>
        <v>6</v>
      </c>
      <c r="X437" s="22" t="str">
        <f t="shared" si="143"/>
        <v>3:2</v>
      </c>
      <c r="Y437" s="22">
        <f t="shared" si="144"/>
        <v>2</v>
      </c>
      <c r="Z437" s="107">
        <f t="shared" si="145"/>
        <v>3</v>
      </c>
      <c r="AA437" s="107">
        <f t="shared" si="146"/>
        <v>2</v>
      </c>
      <c r="AB437" s="22">
        <f t="shared" si="150"/>
        <v>3</v>
      </c>
      <c r="AC437" s="22">
        <f t="shared" si="150"/>
        <v>2</v>
      </c>
      <c r="AD437" s="22">
        <f t="shared" si="151"/>
        <v>3</v>
      </c>
      <c r="AE437" s="22">
        <f t="shared" si="152"/>
        <v>2</v>
      </c>
      <c r="AF437" s="22">
        <f t="shared" si="153"/>
        <v>3</v>
      </c>
      <c r="AG437" s="22">
        <f t="shared" si="154"/>
        <v>1</v>
      </c>
      <c r="AH437" s="22" t="str">
        <f t="shared" si="155"/>
        <v>W</v>
      </c>
      <c r="AI437" s="22">
        <f t="shared" si="156"/>
        <v>1</v>
      </c>
      <c r="AJ437" s="22">
        <f t="shared" si="157"/>
        <v>5</v>
      </c>
      <c r="AL437" s="108">
        <f>AVERAGE(AM437:AM438)</f>
        <v>0.66666666666666674</v>
      </c>
      <c r="AM437" s="108">
        <f>IF(OR(AO436=0,AO438=0),0,(AO436/AO438))</f>
        <v>0.66666666666666674</v>
      </c>
      <c r="AN437" s="110">
        <f>COUNTIF(AH432:AH441,"D")/AN431</f>
        <v>0.5</v>
      </c>
      <c r="AO437" s="110">
        <f>COUNTIF(P431:P440,"D")/AO431</f>
        <v>0.5</v>
      </c>
      <c r="AQ437" s="110">
        <f>COUNTIF(P448:P457,"D")/AQ431</f>
        <v>0.3</v>
      </c>
      <c r="AR437" s="110">
        <f>COUNTIF(AH450:AH459,"D")/AR431</f>
        <v>0.3</v>
      </c>
      <c r="AS437" s="108">
        <f>IF(OR(AQ436=0,AQ438=0),0,(AQ436/AQ438))</f>
        <v>0.16666666666666669</v>
      </c>
      <c r="AT437" s="108">
        <f>AVERAGE(AS437:AS438)</f>
        <v>0.16666666666666669</v>
      </c>
      <c r="AZ437" s="22">
        <v>4</v>
      </c>
      <c r="BA437" s="22">
        <v>0</v>
      </c>
      <c r="BB437" s="109">
        <f>((POISSON(AZ437,AZ430,FALSE)*POISSON(BA437,BF430,FALSE)))*100%</f>
        <v>1.8384309055488709E-2</v>
      </c>
      <c r="BC437" s="22">
        <v>3</v>
      </c>
      <c r="BD437" s="22">
        <v>3</v>
      </c>
      <c r="BE437" s="109">
        <f t="shared" si="161"/>
        <v>3.178880756762293E-2</v>
      </c>
      <c r="BF437" s="22">
        <v>0</v>
      </c>
      <c r="BG437" s="22">
        <v>4</v>
      </c>
      <c r="BH437" s="109">
        <f t="shared" si="162"/>
        <v>7.7389120502738655E-3</v>
      </c>
      <c r="BK437" s="109">
        <f t="shared" si="135"/>
        <v>7.9765453833206018E-2</v>
      </c>
      <c r="BL437" s="107" t="s">
        <v>188</v>
      </c>
      <c r="BN437" s="107"/>
      <c r="BO437" s="109">
        <f>SUM(BB434,BE434,BH434)</f>
        <v>8.9963637981360076E-2</v>
      </c>
      <c r="BP437" s="108">
        <f t="shared" si="136"/>
        <v>11.115602063660365</v>
      </c>
    </row>
    <row r="438" spans="2:71">
      <c r="B438" s="22">
        <f t="shared" si="147"/>
        <v>8</v>
      </c>
      <c r="C438" s="107" t="s">
        <v>254</v>
      </c>
      <c r="D438" s="107" t="s">
        <v>247</v>
      </c>
      <c r="E438" s="22" t="str">
        <f>DATA!C9</f>
        <v>Каманда 1</v>
      </c>
      <c r="F438" s="113">
        <f>DATA!D9</f>
        <v>8</v>
      </c>
      <c r="G438" s="107" t="str">
        <f>DATA!E9</f>
        <v>2:3</v>
      </c>
      <c r="H438" s="107"/>
      <c r="I438" s="22">
        <f t="shared" si="132"/>
        <v>2</v>
      </c>
      <c r="J438" s="107">
        <f t="shared" si="133"/>
        <v>2</v>
      </c>
      <c r="K438" s="107">
        <f t="shared" si="134"/>
        <v>3</v>
      </c>
      <c r="L438" s="22">
        <f t="shared" si="148"/>
        <v>2</v>
      </c>
      <c r="M438" s="22">
        <f t="shared" si="149"/>
        <v>3</v>
      </c>
      <c r="N438" s="22">
        <f t="shared" si="137"/>
        <v>0</v>
      </c>
      <c r="O438" s="22">
        <f t="shared" si="138"/>
        <v>0</v>
      </c>
      <c r="P438" s="22" t="str">
        <f t="shared" si="139"/>
        <v>L</v>
      </c>
      <c r="Q438" s="22" t="str">
        <f t="shared" si="140"/>
        <v>over 2.5 goals</v>
      </c>
      <c r="R438" s="22">
        <f t="shared" si="141"/>
        <v>-1</v>
      </c>
      <c r="S438" s="22">
        <f t="shared" si="142"/>
        <v>5</v>
      </c>
      <c r="U438" s="22">
        <f t="shared" si="158"/>
        <v>7</v>
      </c>
      <c r="V438" s="22" t="str">
        <f t="shared" si="160"/>
        <v>Каманда 1</v>
      </c>
      <c r="W438" s="22">
        <f t="shared" si="159"/>
        <v>7</v>
      </c>
      <c r="X438" s="22" t="str">
        <f t="shared" si="143"/>
        <v>3:3</v>
      </c>
      <c r="Y438" s="22">
        <f t="shared" si="144"/>
        <v>2</v>
      </c>
      <c r="Z438" s="107">
        <f t="shared" si="145"/>
        <v>3</v>
      </c>
      <c r="AA438" s="107">
        <f t="shared" si="146"/>
        <v>3</v>
      </c>
      <c r="AB438" s="22">
        <f t="shared" si="150"/>
        <v>3</v>
      </c>
      <c r="AC438" s="22">
        <f t="shared" si="150"/>
        <v>3</v>
      </c>
      <c r="AD438" s="22">
        <f t="shared" si="151"/>
        <v>3</v>
      </c>
      <c r="AE438" s="22">
        <f t="shared" si="152"/>
        <v>3</v>
      </c>
      <c r="AF438" s="22">
        <f t="shared" si="153"/>
        <v>1</v>
      </c>
      <c r="AG438" s="22">
        <f t="shared" si="154"/>
        <v>0.5</v>
      </c>
      <c r="AH438" s="22" t="str">
        <f t="shared" si="155"/>
        <v>D</v>
      </c>
      <c r="AI438" s="22">
        <f t="shared" si="156"/>
        <v>0</v>
      </c>
      <c r="AJ438" s="22">
        <f t="shared" si="157"/>
        <v>6</v>
      </c>
      <c r="AM438" s="108">
        <f>IF(OR(AN436=0,AN438=0),0,(AN436/AN438))</f>
        <v>0.66666666666666674</v>
      </c>
      <c r="AN438" s="110">
        <f>COUNTIF(AH432:AH441,"L")/AN431</f>
        <v>0.3</v>
      </c>
      <c r="AO438" s="110">
        <f>COUNTIF(P431:P440,"L")/AO431</f>
        <v>0.3</v>
      </c>
      <c r="AQ438" s="110">
        <f>COUNTIF(P448:P457,"L")/AQ431</f>
        <v>0.6</v>
      </c>
      <c r="AR438" s="110">
        <f>COUNTIF(AH450:AH459,"L")/AR431</f>
        <v>0.6</v>
      </c>
      <c r="AS438" s="108">
        <f>IF(OR(AR436=0,AR438=0),0,(AR436/AR438))</f>
        <v>0.16666666666666669</v>
      </c>
      <c r="AZ438" s="22">
        <v>5</v>
      </c>
      <c r="BA438" s="22">
        <v>0</v>
      </c>
      <c r="BB438" s="109">
        <f>((POISSON(AZ438,AZ430,FALSE)*POISSON(BA438,BF430,FALSE)))*100%</f>
        <v>8.1912310347232974E-3</v>
      </c>
      <c r="BC438" s="22">
        <v>4</v>
      </c>
      <c r="BD438" s="22">
        <v>4</v>
      </c>
      <c r="BE438" s="109">
        <f t="shared" si="161"/>
        <v>7.942480174732305E-3</v>
      </c>
      <c r="BF438" s="22">
        <v>0</v>
      </c>
      <c r="BG438" s="22">
        <v>5</v>
      </c>
      <c r="BH438" s="109">
        <f t="shared" si="162"/>
        <v>2.7774095469316217E-3</v>
      </c>
      <c r="BK438" s="109">
        <f t="shared" si="135"/>
        <v>5.9233235161325219E-2</v>
      </c>
      <c r="BL438" s="107" t="s">
        <v>189</v>
      </c>
      <c r="BN438" s="107"/>
      <c r="BO438" s="109">
        <f>SUM(BB437:BB440,BB442:BB461,BE436:BE441,BH437:BH440,BH442:BH461)</f>
        <v>0.56817540458143145</v>
      </c>
      <c r="BP438" s="108">
        <f t="shared" si="136"/>
        <v>1.7600198669928153</v>
      </c>
    </row>
    <row r="439" spans="2:71">
      <c r="B439" s="22">
        <f t="shared" si="147"/>
        <v>9</v>
      </c>
      <c r="C439" s="107" t="s">
        <v>255</v>
      </c>
      <c r="D439" s="107" t="s">
        <v>247</v>
      </c>
      <c r="E439" s="113" t="str">
        <f>DATA!C10</f>
        <v>Каманда 1</v>
      </c>
      <c r="F439" s="113">
        <f>DATA!D10</f>
        <v>9</v>
      </c>
      <c r="G439" s="107" t="str">
        <f>DATA!E10</f>
        <v>3:3</v>
      </c>
      <c r="H439" s="107"/>
      <c r="I439" s="22">
        <f t="shared" si="132"/>
        <v>2</v>
      </c>
      <c r="J439" s="107">
        <f t="shared" si="133"/>
        <v>3</v>
      </c>
      <c r="K439" s="107">
        <f t="shared" si="134"/>
        <v>3</v>
      </c>
      <c r="L439" s="22">
        <f t="shared" si="148"/>
        <v>3</v>
      </c>
      <c r="M439" s="22">
        <f t="shared" si="149"/>
        <v>3</v>
      </c>
      <c r="N439" s="22">
        <f t="shared" si="137"/>
        <v>1</v>
      </c>
      <c r="O439" s="22">
        <f t="shared" si="138"/>
        <v>0.5</v>
      </c>
      <c r="P439" s="22" t="str">
        <f t="shared" si="139"/>
        <v>D</v>
      </c>
      <c r="Q439" s="22" t="str">
        <f t="shared" si="140"/>
        <v>over 2.5 goals</v>
      </c>
      <c r="R439" s="22">
        <f t="shared" si="141"/>
        <v>0</v>
      </c>
      <c r="S439" s="22">
        <f t="shared" si="142"/>
        <v>6</v>
      </c>
      <c r="U439" s="22">
        <f t="shared" si="158"/>
        <v>8</v>
      </c>
      <c r="V439" s="22" t="str">
        <f t="shared" si="160"/>
        <v>Каманда 1</v>
      </c>
      <c r="W439" s="22">
        <f t="shared" si="159"/>
        <v>8</v>
      </c>
      <c r="X439" s="22" t="str">
        <f t="shared" si="143"/>
        <v>2:3</v>
      </c>
      <c r="Y439" s="22">
        <f t="shared" si="144"/>
        <v>2</v>
      </c>
      <c r="Z439" s="107">
        <f t="shared" si="145"/>
        <v>2</v>
      </c>
      <c r="AA439" s="107">
        <f t="shared" si="146"/>
        <v>3</v>
      </c>
      <c r="AB439" s="22">
        <f t="shared" si="150"/>
        <v>2</v>
      </c>
      <c r="AC439" s="22">
        <f t="shared" si="150"/>
        <v>3</v>
      </c>
      <c r="AD439" s="22">
        <f t="shared" si="151"/>
        <v>2</v>
      </c>
      <c r="AE439" s="22">
        <f t="shared" si="152"/>
        <v>3</v>
      </c>
      <c r="AF439" s="22">
        <f t="shared" si="153"/>
        <v>0</v>
      </c>
      <c r="AG439" s="22">
        <f t="shared" si="154"/>
        <v>0</v>
      </c>
      <c r="AH439" s="22" t="str">
        <f t="shared" si="155"/>
        <v>L</v>
      </c>
      <c r="AI439" s="22">
        <f t="shared" si="156"/>
        <v>-1</v>
      </c>
      <c r="AJ439" s="22">
        <f t="shared" si="157"/>
        <v>5</v>
      </c>
      <c r="AM439" s="108"/>
      <c r="AS439" s="108"/>
      <c r="AZ439" s="22">
        <v>6</v>
      </c>
      <c r="BA439" s="22">
        <v>0</v>
      </c>
      <c r="BB439" s="109">
        <f>((POISSON(AZ439,AZ430,FALSE)*POISSON(BA439,BF430,FALSE)))*100%</f>
        <v>3.0413737453000396E-3</v>
      </c>
      <c r="BC439" s="22">
        <v>5</v>
      </c>
      <c r="BD439" s="22">
        <v>5</v>
      </c>
      <c r="BE439" s="109">
        <f t="shared" si="161"/>
        <v>1.270041802064015E-3</v>
      </c>
      <c r="BF439" s="22">
        <v>0</v>
      </c>
      <c r="BG439" s="22">
        <v>6</v>
      </c>
      <c r="BH439" s="109">
        <f t="shared" si="162"/>
        <v>8.3065118857306814E-4</v>
      </c>
      <c r="BK439" s="109">
        <f t="shared" si="135"/>
        <v>3.2989621249571409E-2</v>
      </c>
      <c r="BL439" s="107" t="s">
        <v>190</v>
      </c>
      <c r="BN439" s="107"/>
      <c r="BO439" s="109">
        <f>SUM(BB434:BB436,BB441,BE434:BE435,BH434:BH436,BH441)</f>
        <v>0.4291407395053482</v>
      </c>
      <c r="BP439" s="108">
        <f t="shared" si="136"/>
        <v>2.3302378635798044</v>
      </c>
    </row>
    <row r="440" spans="2:71">
      <c r="B440" s="22">
        <f t="shared" si="147"/>
        <v>10</v>
      </c>
      <c r="C440" s="107" t="s">
        <v>256</v>
      </c>
      <c r="D440" s="107" t="s">
        <v>247</v>
      </c>
      <c r="E440" s="22" t="str">
        <f>DATA!C11</f>
        <v>Каманда 1</v>
      </c>
      <c r="F440" s="113">
        <f>DATA!D11</f>
        <v>10</v>
      </c>
      <c r="G440" s="107" t="str">
        <f>DATA!E11</f>
        <v>3:6</v>
      </c>
      <c r="H440" s="107"/>
      <c r="I440" s="22">
        <f t="shared" si="132"/>
        <v>2</v>
      </c>
      <c r="J440" s="107">
        <f t="shared" si="133"/>
        <v>3</v>
      </c>
      <c r="K440" s="107">
        <f t="shared" si="134"/>
        <v>6</v>
      </c>
      <c r="L440" s="22">
        <f t="shared" si="148"/>
        <v>3</v>
      </c>
      <c r="M440" s="22">
        <f t="shared" si="149"/>
        <v>6</v>
      </c>
      <c r="N440" s="22">
        <f t="shared" si="137"/>
        <v>0</v>
      </c>
      <c r="O440" s="22">
        <f t="shared" si="138"/>
        <v>0</v>
      </c>
      <c r="P440" s="22" t="str">
        <f t="shared" si="139"/>
        <v>L</v>
      </c>
      <c r="Q440" s="22" t="str">
        <f t="shared" si="140"/>
        <v>over 2.5 goals</v>
      </c>
      <c r="R440" s="22">
        <f t="shared" si="141"/>
        <v>-3</v>
      </c>
      <c r="S440" s="22">
        <f t="shared" si="142"/>
        <v>9</v>
      </c>
      <c r="U440" s="22">
        <f t="shared" si="158"/>
        <v>9</v>
      </c>
      <c r="V440" s="22" t="str">
        <f t="shared" si="160"/>
        <v>Каманда 1</v>
      </c>
      <c r="W440" s="22">
        <f t="shared" si="159"/>
        <v>9</v>
      </c>
      <c r="X440" s="22" t="str">
        <f t="shared" si="143"/>
        <v>3:3</v>
      </c>
      <c r="Y440" s="22">
        <f t="shared" si="144"/>
        <v>2</v>
      </c>
      <c r="Z440" s="107">
        <f t="shared" si="145"/>
        <v>3</v>
      </c>
      <c r="AA440" s="107">
        <f t="shared" si="146"/>
        <v>3</v>
      </c>
      <c r="AB440" s="22">
        <f t="shared" si="150"/>
        <v>3</v>
      </c>
      <c r="AC440" s="22">
        <f t="shared" si="150"/>
        <v>3</v>
      </c>
      <c r="AD440" s="22">
        <f t="shared" si="151"/>
        <v>3</v>
      </c>
      <c r="AE440" s="22">
        <f t="shared" si="152"/>
        <v>3</v>
      </c>
      <c r="AF440" s="22">
        <f t="shared" si="153"/>
        <v>1</v>
      </c>
      <c r="AG440" s="22">
        <f t="shared" si="154"/>
        <v>0.5</v>
      </c>
      <c r="AH440" s="22" t="str">
        <f t="shared" si="155"/>
        <v>D</v>
      </c>
      <c r="AI440" s="22">
        <f t="shared" si="156"/>
        <v>0</v>
      </c>
      <c r="AJ440" s="22">
        <f t="shared" si="157"/>
        <v>6</v>
      </c>
      <c r="AM440" s="108">
        <f>(AO434+AQ435)/2</f>
        <v>2.95</v>
      </c>
      <c r="AN440" s="108">
        <f>AM440</f>
        <v>2.95</v>
      </c>
      <c r="AO440" s="108"/>
      <c r="AQ440" s="108">
        <f>(AQ434+AO435)/2</f>
        <v>2.4500000000000002</v>
      </c>
      <c r="AR440" s="108"/>
      <c r="AS440" s="108"/>
      <c r="AZ440" s="22">
        <v>7</v>
      </c>
      <c r="BA440" s="22">
        <v>0</v>
      </c>
      <c r="BB440" s="109">
        <f>((POISSON(AZ440,AZ430,FALSE)*POISSON(BA440,BF430,FALSE)))*100%</f>
        <v>9.6792926338517301E-4</v>
      </c>
      <c r="BC440" s="22">
        <v>6</v>
      </c>
      <c r="BD440" s="22">
        <v>6</v>
      </c>
      <c r="BE440" s="109">
        <f t="shared" si="161"/>
        <v>1.4103191386208622E-4</v>
      </c>
      <c r="BF440" s="22">
        <v>0</v>
      </c>
      <c r="BG440" s="22">
        <v>7</v>
      </c>
      <c r="BH440" s="109">
        <f t="shared" si="162"/>
        <v>2.129367729437311E-4</v>
      </c>
      <c r="BK440" s="109">
        <f t="shared" si="135"/>
        <v>1.4698709023420142E-2</v>
      </c>
      <c r="BL440" s="107" t="s">
        <v>191</v>
      </c>
      <c r="BN440" s="107"/>
      <c r="BO440" s="109">
        <f>SUM(BB434:BB461,BE435:BE441,BH441:BH461)</f>
        <v>0.88960781809695144</v>
      </c>
      <c r="BP440" s="108">
        <f t="shared" si="136"/>
        <v>1.1240908405449936</v>
      </c>
      <c r="BR440" s="109">
        <f t="shared" ref="BR440:BR446" si="163">1-BO440</f>
        <v>0.11039218190304856</v>
      </c>
      <c r="BS440" s="108">
        <f t="shared" ref="BS440:BS452" si="164">1/BR440</f>
        <v>9.0586125100620407</v>
      </c>
    </row>
    <row r="441" spans="2:71">
      <c r="B441" s="22" t="s">
        <v>259</v>
      </c>
      <c r="E441" s="107"/>
      <c r="F441" s="107"/>
      <c r="G441" s="107"/>
      <c r="H441" s="107"/>
      <c r="J441" s="107"/>
      <c r="K441" s="107"/>
      <c r="U441" s="22">
        <f t="shared" si="158"/>
        <v>10</v>
      </c>
      <c r="V441" s="22" t="str">
        <f t="shared" si="160"/>
        <v>Каманда 1</v>
      </c>
      <c r="W441" s="22">
        <f t="shared" si="159"/>
        <v>10</v>
      </c>
      <c r="X441" s="22" t="str">
        <f t="shared" si="143"/>
        <v>3:6</v>
      </c>
      <c r="Y441" s="22">
        <f t="shared" si="144"/>
        <v>2</v>
      </c>
      <c r="Z441" s="107">
        <f t="shared" si="145"/>
        <v>3</v>
      </c>
      <c r="AA441" s="107">
        <f t="shared" si="146"/>
        <v>6</v>
      </c>
      <c r="AB441" s="22">
        <f t="shared" si="150"/>
        <v>3</v>
      </c>
      <c r="AC441" s="22">
        <f t="shared" si="150"/>
        <v>6</v>
      </c>
      <c r="AD441" s="22">
        <f t="shared" si="151"/>
        <v>3</v>
      </c>
      <c r="AE441" s="22">
        <f t="shared" si="152"/>
        <v>6</v>
      </c>
      <c r="AF441" s="22">
        <f t="shared" si="153"/>
        <v>0</v>
      </c>
      <c r="AG441" s="22">
        <f t="shared" si="154"/>
        <v>0</v>
      </c>
      <c r="AH441" s="22" t="str">
        <f t="shared" si="155"/>
        <v>L</v>
      </c>
      <c r="AI441" s="22">
        <f t="shared" si="156"/>
        <v>-3</v>
      </c>
      <c r="AJ441" s="22">
        <f t="shared" si="157"/>
        <v>9</v>
      </c>
      <c r="AM441" s="108">
        <f>(AN434+AR435)/2</f>
        <v>2.95</v>
      </c>
      <c r="AN441" s="108">
        <f>AM441</f>
        <v>2.95</v>
      </c>
      <c r="AO441" s="108"/>
      <c r="AQ441" s="108">
        <f>(AR434+AN435)/2</f>
        <v>2.4500000000000002</v>
      </c>
      <c r="AR441" s="108"/>
      <c r="AS441" s="108"/>
      <c r="AZ441" s="22">
        <v>2</v>
      </c>
      <c r="BA441" s="22">
        <v>1</v>
      </c>
      <c r="BB441" s="109">
        <f>((POISSON(AZ441,$AZ$430,FALSE)*POISSON(BA441,$BF$430,FALSE)))*100%</f>
        <v>7.9765453833206018E-2</v>
      </c>
      <c r="BC441" s="22">
        <v>7</v>
      </c>
      <c r="BD441" s="22">
        <v>7</v>
      </c>
      <c r="BE441" s="109">
        <f t="shared" si="161"/>
        <v>1.1505969122675131E-5</v>
      </c>
      <c r="BF441" s="22">
        <v>1</v>
      </c>
      <c r="BG441" s="22">
        <v>2</v>
      </c>
      <c r="BH441" s="109">
        <f t="shared" si="162"/>
        <v>6.4249979022756962E-2</v>
      </c>
      <c r="BK441" s="109">
        <f t="shared" si="135"/>
        <v>5.4575762207328491E-3</v>
      </c>
      <c r="BL441" s="107" t="s">
        <v>192</v>
      </c>
      <c r="BN441" s="107"/>
      <c r="BO441" s="109">
        <f>SUM(BB435:BB461,BE436:BE441,BH447:BH461)</f>
        <v>0.64965760297516773</v>
      </c>
      <c r="BP441" s="108">
        <f t="shared" si="136"/>
        <v>1.5392723727397424</v>
      </c>
      <c r="BR441" s="109">
        <f t="shared" si="163"/>
        <v>0.35034239702483227</v>
      </c>
      <c r="BS441" s="108">
        <f t="shared" si="164"/>
        <v>2.8543505110776528</v>
      </c>
    </row>
    <row r="442" spans="2:71">
      <c r="E442" s="107"/>
      <c r="F442" s="107"/>
      <c r="G442" s="107"/>
      <c r="H442" s="107"/>
      <c r="J442" s="107"/>
      <c r="K442" s="107"/>
      <c r="Z442" s="107"/>
      <c r="AA442" s="107"/>
      <c r="AM442" s="108">
        <f>AVERAGE(AM440:AO441)</f>
        <v>2.95</v>
      </c>
      <c r="AN442" s="108">
        <f>AM442</f>
        <v>2.95</v>
      </c>
      <c r="AO442" s="108"/>
      <c r="AQ442" s="108">
        <f>AVERAGE(AQ440:AS441)</f>
        <v>2.4500000000000002</v>
      </c>
      <c r="AR442" s="108"/>
      <c r="AS442" s="108"/>
      <c r="AZ442" s="22">
        <v>3</v>
      </c>
      <c r="BA442" s="22">
        <v>1</v>
      </c>
      <c r="BB442" s="109">
        <f>((POISSON(AZ442,$AZ$430,FALSE)*POISSON(BA442,$BF$430,FALSE)))*100%</f>
        <v>5.9233235161325219E-2</v>
      </c>
      <c r="BC442" s="110">
        <f>SUM(BE434:BE441)</f>
        <v>0.20224420267008172</v>
      </c>
      <c r="BD442" s="110"/>
      <c r="BE442" s="110"/>
      <c r="BF442" s="22">
        <v>1</v>
      </c>
      <c r="BG442" s="22">
        <v>3</v>
      </c>
      <c r="BH442" s="109">
        <f t="shared" si="162"/>
        <v>3.8431005971019429E-2</v>
      </c>
      <c r="BK442" s="109">
        <f t="shared" si="135"/>
        <v>1.7368952892967272E-3</v>
      </c>
      <c r="BL442" s="107" t="s">
        <v>193</v>
      </c>
      <c r="BN442" s="107"/>
      <c r="BO442" s="109">
        <f>SUM(BB436:BB440,BB442:BB461,BE437:BE441,BH452:BH461)</f>
        <v>0.38237972446451424</v>
      </c>
      <c r="BP442" s="108">
        <f t="shared" si="136"/>
        <v>2.6152014241874437</v>
      </c>
      <c r="BR442" s="109">
        <f t="shared" si="163"/>
        <v>0.61762027553548582</v>
      </c>
      <c r="BS442" s="108">
        <f t="shared" si="164"/>
        <v>1.6191178295320461</v>
      </c>
    </row>
    <row r="443" spans="2:71">
      <c r="E443" s="107"/>
      <c r="F443" s="107"/>
      <c r="G443" s="107"/>
      <c r="H443" s="107"/>
      <c r="J443" s="107"/>
      <c r="K443" s="107"/>
      <c r="Z443" s="107"/>
      <c r="AA443" s="107"/>
      <c r="AL443" s="108"/>
      <c r="AM443" s="108">
        <f>(AL437+AM442)/2</f>
        <v>1.8083333333333336</v>
      </c>
      <c r="AN443" s="108">
        <f>AM443</f>
        <v>1.8083333333333336</v>
      </c>
      <c r="AO443" s="108"/>
      <c r="AQ443" s="108">
        <f>(AQ442+AT437)/2</f>
        <v>1.3083333333333333</v>
      </c>
      <c r="AR443" s="108"/>
      <c r="AS443" s="108"/>
      <c r="AT443" s="108"/>
      <c r="AZ443" s="22">
        <v>4</v>
      </c>
      <c r="BA443" s="22">
        <v>1</v>
      </c>
      <c r="BB443" s="109">
        <f>((POISSON(AZ443,$AZ$430,FALSE)*POISSON(BA443,$BF$430,FALSE)))*100%</f>
        <v>3.2989621249571409E-2</v>
      </c>
      <c r="BC443" s="110"/>
      <c r="BD443" s="110"/>
      <c r="BE443" s="110"/>
      <c r="BF443" s="22">
        <v>1</v>
      </c>
      <c r="BG443" s="22">
        <v>4</v>
      </c>
      <c r="BH443" s="109">
        <f t="shared" si="162"/>
        <v>1.7240576289776779E-2</v>
      </c>
      <c r="BK443" s="109">
        <f t="shared" si="135"/>
        <v>5.3145374880855689E-2</v>
      </c>
      <c r="BL443" s="107" t="s">
        <v>194</v>
      </c>
      <c r="BN443" s="107"/>
      <c r="BO443" s="109">
        <f>SUM(BB441:BB461,BE435:BE441,BH434:BH461)</f>
        <v>0.83145118075278657</v>
      </c>
      <c r="BP443" s="108">
        <f t="shared" si="136"/>
        <v>1.2027164350101844</v>
      </c>
      <c r="BR443" s="109">
        <f t="shared" si="163"/>
        <v>0.16854881924721343</v>
      </c>
      <c r="BS443" s="108">
        <f t="shared" si="164"/>
        <v>5.932999142125599</v>
      </c>
    </row>
    <row r="444" spans="2:71">
      <c r="E444" s="107"/>
      <c r="F444" s="107"/>
      <c r="G444" s="107"/>
      <c r="H444" s="107"/>
      <c r="J444" s="107"/>
      <c r="K444" s="107"/>
      <c r="Z444" s="107"/>
      <c r="AA444" s="107"/>
      <c r="AM444" s="108"/>
      <c r="AN444" s="108">
        <f>тс!K431</f>
        <v>0</v>
      </c>
      <c r="AO444" s="108"/>
      <c r="AQ444" s="108">
        <f>тс!L431</f>
        <v>0</v>
      </c>
      <c r="AR444" s="108"/>
      <c r="AS444" s="108"/>
      <c r="AZ444" s="22">
        <v>5</v>
      </c>
      <c r="BA444" s="22">
        <v>1</v>
      </c>
      <c r="BB444" s="109">
        <f>((POISSON(AZ444,$AZ$430,FALSE)*POISSON(BA444,$BF$430,FALSE)))*100%</f>
        <v>1.4698709023420142E-2</v>
      </c>
      <c r="BC444" s="110">
        <f>1-BC442</f>
        <v>0.7977557973299183</v>
      </c>
      <c r="BD444" s="110"/>
      <c r="BE444" s="110"/>
      <c r="BF444" s="22">
        <v>1</v>
      </c>
      <c r="BG444" s="22">
        <v>5</v>
      </c>
      <c r="BH444" s="109">
        <f t="shared" si="162"/>
        <v>6.1874512684421124E-3</v>
      </c>
      <c r="BK444" s="109">
        <f t="shared" si="135"/>
        <v>2.9599021287809908E-2</v>
      </c>
      <c r="BL444" s="107" t="s">
        <v>195</v>
      </c>
      <c r="BN444" s="107"/>
      <c r="BO444" s="109">
        <f>SUM(BB447:BB461,BE436:BE441,BH435:BH461)</f>
        <v>0.53381571877012124</v>
      </c>
      <c r="BP444" s="108">
        <f t="shared" si="136"/>
        <v>1.8733056461955426</v>
      </c>
      <c r="BR444" s="109">
        <f t="shared" si="163"/>
        <v>0.46618428122987876</v>
      </c>
      <c r="BS444" s="108">
        <f t="shared" si="164"/>
        <v>2.1450744700396558</v>
      </c>
    </row>
    <row r="445" spans="2:71">
      <c r="E445" s="107"/>
      <c r="F445" s="107"/>
      <c r="G445" s="107"/>
      <c r="H445" s="107"/>
      <c r="J445" s="107"/>
      <c r="K445" s="107"/>
      <c r="Z445" s="107"/>
      <c r="AA445" s="107"/>
      <c r="AN445" s="108">
        <f>(AN442+тс!K3+AL437)/3</f>
        <v>2.2277777777777779</v>
      </c>
      <c r="AO445" s="108"/>
      <c r="AQ445" s="108">
        <f>(AQ442+тс!L3+AT437)/3</f>
        <v>1.7944444444444445</v>
      </c>
      <c r="AR445" s="108"/>
      <c r="AZ445" s="22">
        <v>6</v>
      </c>
      <c r="BA445" s="22">
        <v>1</v>
      </c>
      <c r="BB445" s="109">
        <f t="shared" ref="BB445:BB461" si="165">((POISSON(AZ445,$AZ$430,FALSE)*POISSON(BA445,$BF$430,FALSE)))*100%</f>
        <v>5.4575762207328491E-3</v>
      </c>
      <c r="BC445" s="110"/>
      <c r="BD445" s="110"/>
      <c r="BE445" s="110"/>
      <c r="BF445" s="22">
        <v>1</v>
      </c>
      <c r="BG445" s="22">
        <v>6</v>
      </c>
      <c r="BH445" s="109">
        <f t="shared" si="162"/>
        <v>1.8505062589877796E-3</v>
      </c>
      <c r="BK445" s="109">
        <f t="shared" si="135"/>
        <v>1.3188008373790852E-2</v>
      </c>
      <c r="BL445" s="107" t="s">
        <v>196</v>
      </c>
      <c r="BN445" s="107"/>
      <c r="BO445" s="109">
        <f>SUM(BB452:BB461,BE437:BE441,BH436:BH440,BH442:BH461)</f>
        <v>0.26677056815789629</v>
      </c>
      <c r="BP445" s="108">
        <f t="shared" si="136"/>
        <v>3.7485394543528487</v>
      </c>
      <c r="BR445" s="109">
        <f t="shared" si="163"/>
        <v>0.73322943184210376</v>
      </c>
      <c r="BS445" s="108">
        <f t="shared" si="164"/>
        <v>1.3638295962665934</v>
      </c>
    </row>
    <row r="446" spans="2:71">
      <c r="B446" s="22" t="s">
        <v>158</v>
      </c>
      <c r="O446" s="108"/>
      <c r="Z446" s="107"/>
      <c r="AA446" s="107"/>
      <c r="AP446" s="22" t="str">
        <f>B430</f>
        <v>Каманда 1</v>
      </c>
      <c r="AZ446" s="22">
        <v>7</v>
      </c>
      <c r="BA446" s="22">
        <v>1</v>
      </c>
      <c r="BB446" s="109">
        <f t="shared" si="165"/>
        <v>1.7368952892967272E-3</v>
      </c>
      <c r="BF446" s="22">
        <v>1</v>
      </c>
      <c r="BG446" s="22">
        <v>7</v>
      </c>
      <c r="BH446" s="109">
        <f t="shared" si="162"/>
        <v>4.7437581083575647E-4</v>
      </c>
      <c r="BK446" s="109">
        <f t="shared" si="135"/>
        <v>4.8966586647130848E-3</v>
      </c>
      <c r="BL446" s="107" t="s">
        <v>197</v>
      </c>
      <c r="BN446" s="107"/>
      <c r="BO446" s="109">
        <f>SUM(BB435,BB437,BB439,BB442,BB444,BB446,BB448,BB450,BB453,BB455,BB457,BB460,BE434:BE441,BH435,BH437,BH439,BH442,BH444,BH446,BH448,BH450,BH453,BH455,BH457,BH460)</f>
        <v>0.49879872957781496</v>
      </c>
      <c r="BP446" s="108">
        <f t="shared" si="136"/>
        <v>2.0048166538964596</v>
      </c>
      <c r="BR446" s="109">
        <f t="shared" si="163"/>
        <v>0.5012012704221851</v>
      </c>
      <c r="BS446" s="108">
        <f t="shared" si="164"/>
        <v>1.9952064350468497</v>
      </c>
    </row>
    <row r="447" spans="2:71">
      <c r="B447" s="22" t="str">
        <f>IF(COUNTIF(E448:F462,E448)&gt;COUNTIF(E448:F462,F448),E448,F448)</f>
        <v>Команда 2</v>
      </c>
      <c r="AN447" s="110">
        <f>SUM(BB434:BB461)+SUM(BE435:BE441)+SUM(BH434:BH461)</f>
        <v>0.97940303032942877</v>
      </c>
      <c r="AO447" s="108">
        <f>1/AN447</f>
        <v>1.0210301265492749</v>
      </c>
      <c r="AP447" s="22">
        <v>0.5</v>
      </c>
      <c r="AQ447" s="110">
        <f>IF(AN447=0,0,(1-AN447))</f>
        <v>2.059696967057123E-2</v>
      </c>
      <c r="AR447" s="108">
        <f>IF(OR(AN447=0,AQ447=0),0,(AN447-AQ447))</f>
        <v>0.95880606065885754</v>
      </c>
      <c r="AS447" s="108">
        <f>1-AR447</f>
        <v>4.119393934114246E-2</v>
      </c>
      <c r="AZ447" s="22">
        <v>3</v>
      </c>
      <c r="BA447" s="22">
        <v>2</v>
      </c>
      <c r="BB447" s="109">
        <f t="shared" si="165"/>
        <v>5.3145374880855689E-2</v>
      </c>
      <c r="BF447" s="22">
        <v>2</v>
      </c>
      <c r="BG447" s="22">
        <v>3</v>
      </c>
      <c r="BH447" s="109">
        <f t="shared" si="162"/>
        <v>4.2807870539941104E-2</v>
      </c>
      <c r="BK447" s="109">
        <f t="shared" si="135"/>
        <v>1.5583810512301195E-3</v>
      </c>
      <c r="BL447" s="107" t="s">
        <v>198</v>
      </c>
      <c r="BN447" s="107"/>
      <c r="BO447" s="109">
        <f>SUM(BB435:BB461)</f>
        <v>0.43970585775841375</v>
      </c>
      <c r="BP447" s="108">
        <f t="shared" si="136"/>
        <v>2.2742476188466587</v>
      </c>
      <c r="BQ447" s="107"/>
      <c r="BR447" s="109">
        <f>BB434</f>
        <v>3.9906436759430744E-2</v>
      </c>
      <c r="BS447" s="108">
        <f t="shared" si="164"/>
        <v>25.058614128551046</v>
      </c>
    </row>
    <row r="448" spans="2:71">
      <c r="B448" s="22">
        <v>1</v>
      </c>
      <c r="C448" s="107" t="s">
        <v>246</v>
      </c>
      <c r="D448" s="107" t="s">
        <v>247</v>
      </c>
      <c r="E448" s="113">
        <f>DATA!C14</f>
        <v>1</v>
      </c>
      <c r="F448" s="113" t="str">
        <f>DATA!D14</f>
        <v>Команда 2</v>
      </c>
      <c r="G448" s="107" t="str">
        <f>DATA!E14</f>
        <v>5:5</v>
      </c>
      <c r="H448" s="107"/>
      <c r="I448" s="22">
        <f t="shared" ref="I448:I457" si="166">SEARCH(":",G448)</f>
        <v>2</v>
      </c>
      <c r="J448" s="107">
        <f t="shared" ref="J448:J457" si="167">LEFT(G448,I448-1)*1</f>
        <v>5</v>
      </c>
      <c r="K448" s="107">
        <f t="shared" ref="K448:K457" si="168">MID(G448,I448+1,4)*1</f>
        <v>5</v>
      </c>
      <c r="L448" s="22">
        <f>IF(OR(J448="",K448=""),"",IF(E448=$B$447,J448,K448))</f>
        <v>5</v>
      </c>
      <c r="M448" s="22">
        <f>IF(OR(J448="",K448=""),"",IF(E448=$B$447,K448,J448))</f>
        <v>5</v>
      </c>
      <c r="N448" s="22">
        <f>IF(OR(L448="",M448=""),"",IF(L448&gt;M448,3,IF(L448&lt;M448,0,1)))</f>
        <v>1</v>
      </c>
      <c r="O448" s="22">
        <f>IF(N448="","",IF(N448=3,1,IF(N448=1,0.5,IF(N448=0,0))))</f>
        <v>0.5</v>
      </c>
      <c r="P448" s="22" t="str">
        <f>IF(N448="","",IF(N448=1,"D",IF(N448=0,"L",IF(N448=3,"W"))))</f>
        <v>D</v>
      </c>
      <c r="Q448" s="22" t="str">
        <f>IF(S448&gt;2.5,"over 2.5 goals","under 2.5 goals")</f>
        <v>over 2.5 goals</v>
      </c>
      <c r="R448" s="22">
        <f>IF(OR(L448="",M448=""),"",L448-M448)</f>
        <v>0</v>
      </c>
      <c r="S448" s="22">
        <f>IF(OR(J448="",K448=""),"",J448+K448)</f>
        <v>10</v>
      </c>
      <c r="U448" s="22" t="s">
        <v>149</v>
      </c>
      <c r="AN448" s="110">
        <f>SUM(BB435:BB461)+SUM(BE435:BE441)+SUM(BH435:BH461)</f>
        <v>0.90735250610541929</v>
      </c>
      <c r="AO448" s="108">
        <f>1/AN448</f>
        <v>1.1021074976606904</v>
      </c>
      <c r="AP448" s="22">
        <v>1.5</v>
      </c>
      <c r="AQ448" s="110">
        <f>IF(AN448=0,0,(1-AN448))</f>
        <v>9.2647493894580712E-2</v>
      </c>
      <c r="AR448" s="108">
        <f>IF(OR(AN448=0,AQ448=0),0,(AN448-AQ448))</f>
        <v>0.81470501221083858</v>
      </c>
      <c r="AS448" s="108">
        <f>1-AR448</f>
        <v>0.18529498778916142</v>
      </c>
      <c r="AZ448" s="22">
        <v>4</v>
      </c>
      <c r="BA448" s="22">
        <v>2</v>
      </c>
      <c r="BB448" s="109">
        <f t="shared" si="165"/>
        <v>2.9599021287809908E-2</v>
      </c>
      <c r="BF448" s="22">
        <v>2</v>
      </c>
      <c r="BG448" s="22">
        <v>4</v>
      </c>
      <c r="BH448" s="109">
        <f t="shared" si="162"/>
        <v>1.9204086367223584E-2</v>
      </c>
      <c r="BK448" s="109">
        <f t="shared" si="135"/>
        <v>1.7704599770301106E-2</v>
      </c>
      <c r="BL448" s="107" t="s">
        <v>199</v>
      </c>
      <c r="BN448" s="107"/>
      <c r="BO448" s="109">
        <f>SUM(BE435:BE441)</f>
        <v>0.18433108891273126</v>
      </c>
      <c r="BP448" s="108">
        <f t="shared" si="136"/>
        <v>5.425020846447854</v>
      </c>
      <c r="BQ448" s="107"/>
      <c r="BR448" s="109">
        <f>BE434</f>
        <v>1.7913113757350458E-2</v>
      </c>
      <c r="BS448" s="108">
        <f t="shared" si="164"/>
        <v>55.825023697494274</v>
      </c>
    </row>
    <row r="449" spans="2:71">
      <c r="B449" s="22">
        <f>1+B448</f>
        <v>2</v>
      </c>
      <c r="C449" s="107" t="s">
        <v>248</v>
      </c>
      <c r="D449" s="107" t="s">
        <v>247</v>
      </c>
      <c r="E449" s="113">
        <f>DATA!C15</f>
        <v>2</v>
      </c>
      <c r="F449" s="113" t="str">
        <f>DATA!D15</f>
        <v>Команда 2</v>
      </c>
      <c r="G449" s="107" t="str">
        <f>DATA!E15</f>
        <v>2:2</v>
      </c>
      <c r="H449" s="107"/>
      <c r="I449" s="22">
        <f t="shared" si="166"/>
        <v>2</v>
      </c>
      <c r="J449" s="107">
        <f t="shared" si="167"/>
        <v>2</v>
      </c>
      <c r="K449" s="107">
        <f t="shared" si="168"/>
        <v>2</v>
      </c>
      <c r="L449" s="22">
        <f>IF(OR(J449="",K449=""),"",IF(E449=$B$447,J449,K449))</f>
        <v>2</v>
      </c>
      <c r="M449" s="22">
        <f>IF(OR(J449="",K449=""),"",IF(E449=$B$447,K449,J449))</f>
        <v>2</v>
      </c>
      <c r="N449" s="22">
        <f t="shared" ref="N449:N457" si="169">IF(OR(L449="",M449=""),"",IF(L449&gt;M449,3,IF(L449&lt;M449,0,1)))</f>
        <v>1</v>
      </c>
      <c r="O449" s="22">
        <f t="shared" ref="O449:O457" si="170">IF(N449="","",IF(N449=3,1,IF(N449=1,0.5,IF(N449=0,0))))</f>
        <v>0.5</v>
      </c>
      <c r="P449" s="22" t="str">
        <f t="shared" ref="P449:P457" si="171">IF(N449="","",IF(N449=1,"D",IF(N449=0,"L",IF(N449=3,"W"))))</f>
        <v>D</v>
      </c>
      <c r="Q449" s="22" t="str">
        <f t="shared" ref="Q449:Q457" si="172">IF(S449&gt;2.5,"over 2.5 goals","under 2.5 goals")</f>
        <v>over 2.5 goals</v>
      </c>
      <c r="R449" s="22">
        <f t="shared" ref="R449:R457" si="173">IF(OR(L449="",M449=""),"",L449-M449)</f>
        <v>0</v>
      </c>
      <c r="S449" s="22">
        <f t="shared" ref="S449:S457" si="174">IF(OR(J449="",K449=""),"",J449+K449)</f>
        <v>4</v>
      </c>
      <c r="U449" s="22" t="str">
        <f>B447</f>
        <v>Команда 2</v>
      </c>
      <c r="AN449" s="110">
        <f>SUM(BB436:BB461)+SUM(BE436:BE441)+SUM(BH436:BH461)</f>
        <v>0.76245089627713325</v>
      </c>
      <c r="AO449" s="108">
        <f>1/AN449</f>
        <v>1.311559872095059</v>
      </c>
      <c r="AP449" s="22">
        <v>2.5</v>
      </c>
      <c r="AQ449" s="110">
        <f>IF(AN449=0,0,(1-AN449))</f>
        <v>0.23754910372286675</v>
      </c>
      <c r="AR449" s="108">
        <f>IF(OR(AN449=0,AQ449=0),0,(AN449-AQ449))</f>
        <v>0.5249017925542665</v>
      </c>
      <c r="AS449" s="108">
        <f>1-AR449</f>
        <v>0.4750982074457335</v>
      </c>
      <c r="AZ449" s="22">
        <v>5</v>
      </c>
      <c r="BA449" s="22">
        <v>2</v>
      </c>
      <c r="BB449" s="109">
        <f t="shared" si="165"/>
        <v>1.3188008373790852E-2</v>
      </c>
      <c r="BF449" s="22">
        <v>2</v>
      </c>
      <c r="BG449" s="22">
        <v>5</v>
      </c>
      <c r="BH449" s="109">
        <f t="shared" si="162"/>
        <v>6.8921332184591327E-3</v>
      </c>
      <c r="BK449" s="109">
        <f t="shared" si="135"/>
        <v>7.8883827865452658E-3</v>
      </c>
      <c r="BL449" s="107" t="s">
        <v>200</v>
      </c>
      <c r="BN449" s="107"/>
      <c r="BO449" s="109">
        <f>SUM(BH435:BH461)</f>
        <v>0.28331555943427417</v>
      </c>
      <c r="BP449" s="108">
        <f t="shared" si="136"/>
        <v>3.5296331835667787</v>
      </c>
      <c r="BQ449" s="107"/>
      <c r="BR449" s="109">
        <f>BH434</f>
        <v>3.2144087464578877E-2</v>
      </c>
      <c r="BS449" s="108">
        <f t="shared" si="164"/>
        <v>31.109920326776994</v>
      </c>
    </row>
    <row r="450" spans="2:71">
      <c r="B450" s="22">
        <f t="shared" ref="B450:B457" si="175">1+B449</f>
        <v>3</v>
      </c>
      <c r="C450" s="107" t="s">
        <v>249</v>
      </c>
      <c r="D450" s="107" t="s">
        <v>247</v>
      </c>
      <c r="E450" s="113">
        <f>DATA!C16</f>
        <v>3</v>
      </c>
      <c r="F450" s="113" t="str">
        <f>DATA!D16</f>
        <v>Команда 2</v>
      </c>
      <c r="G450" s="107" t="str">
        <f>DATA!E16</f>
        <v>4:1</v>
      </c>
      <c r="H450" s="107"/>
      <c r="I450" s="22">
        <f t="shared" si="166"/>
        <v>2</v>
      </c>
      <c r="J450" s="107">
        <f t="shared" si="167"/>
        <v>4</v>
      </c>
      <c r="K450" s="107">
        <f t="shared" si="168"/>
        <v>1</v>
      </c>
      <c r="L450" s="22">
        <f t="shared" ref="L450:L457" si="176">IF(OR(J450="",K450=""),"",IF(E450=$B$447,J450,K450))</f>
        <v>1</v>
      </c>
      <c r="M450" s="22">
        <f t="shared" ref="M450:M457" si="177">IF(OR(J450="",K450=""),"",IF(E450=$B$447,K450,J450))</f>
        <v>4</v>
      </c>
      <c r="N450" s="22">
        <f t="shared" si="169"/>
        <v>0</v>
      </c>
      <c r="O450" s="22">
        <f t="shared" si="170"/>
        <v>0</v>
      </c>
      <c r="P450" s="22" t="str">
        <f t="shared" si="171"/>
        <v>L</v>
      </c>
      <c r="Q450" s="22" t="str">
        <f t="shared" si="172"/>
        <v>over 2.5 goals</v>
      </c>
      <c r="R450" s="22">
        <f t="shared" si="173"/>
        <v>-3</v>
      </c>
      <c r="S450" s="22">
        <f t="shared" si="174"/>
        <v>5</v>
      </c>
      <c r="U450" s="22">
        <v>1</v>
      </c>
      <c r="V450" s="22">
        <f>IF(F448=B447,E448,"-")</f>
        <v>1</v>
      </c>
      <c r="W450" s="22" t="str">
        <f>IF(F448=$B$447,F448,"-")</f>
        <v>Команда 2</v>
      </c>
      <c r="X450" s="22" t="str">
        <f t="shared" ref="X450:X459" si="178">IF(AND(V450=E448,W450=F448),G448,"-")</f>
        <v>5:5</v>
      </c>
      <c r="Y450" s="22">
        <f t="shared" ref="Y450:Y459" si="179">SEARCH(":",X450)</f>
        <v>2</v>
      </c>
      <c r="Z450" s="107">
        <f t="shared" ref="Z450:Z459" si="180">LEFT(X450,Y450-1)*1</f>
        <v>5</v>
      </c>
      <c r="AA450" s="107">
        <f t="shared" ref="AA450:AA459" si="181">MID(X450,Y450+1,4)*1</f>
        <v>5</v>
      </c>
      <c r="AB450" s="22">
        <f>IFERROR(Z450,"")</f>
        <v>5</v>
      </c>
      <c r="AC450" s="22">
        <f>IFERROR(AA450,"")</f>
        <v>5</v>
      </c>
      <c r="AD450" s="22">
        <f>IF(OR(AB450="",AC450=""),"",AC450)</f>
        <v>5</v>
      </c>
      <c r="AE450" s="22">
        <f>IF(OR(AB450="",AC450=""),"",AB450)</f>
        <v>5</v>
      </c>
      <c r="AF450" s="22">
        <f>IF(OR(AD450="",AE450=""),"",IF(AD450&gt;AE450,3,IF(AD450&lt;AE450,0,1)))</f>
        <v>1</v>
      </c>
      <c r="AG450" s="22">
        <f>IF(AF450="","",IF(AF450=3,1,IF(AF450=1,0.5,IF(AF450=0,0))))</f>
        <v>0.5</v>
      </c>
      <c r="AH450" s="22" t="str">
        <f>IF(AF450="","",IF(AF450=1,"D",IF(AF450=0,"L",IF(AF450=3,"W"))))</f>
        <v>D</v>
      </c>
      <c r="AI450" s="22">
        <f>IF(OR(AD450="",AE450=""),"",AD450-AE450)</f>
        <v>0</v>
      </c>
      <c r="AJ450" s="22">
        <f>SUM(AD450:AE450)</f>
        <v>10</v>
      </c>
      <c r="AN450" s="110">
        <f>BB437+BB438+BB439+BB440+BH437+BH438+BH439+BH440+SUM(BE436:BE441)+SUM(BB442:BB461)+SUM(BH442:BH461)</f>
        <v>0.56817540458143134</v>
      </c>
      <c r="AO450" s="108">
        <f>1/AN450</f>
        <v>1.7600198669928155</v>
      </c>
      <c r="AP450" s="22">
        <v>3.5</v>
      </c>
      <c r="AQ450" s="110">
        <f>IF(AN450=0,0,(1-AN450))</f>
        <v>0.43182459541856866</v>
      </c>
      <c r="AR450" s="108">
        <f>IF(OR(AN450=0,AQ450=0),0,(AN450-AQ450))</f>
        <v>0.13635080916286269</v>
      </c>
      <c r="AS450" s="108">
        <f>1-AR450</f>
        <v>0.86364919083713731</v>
      </c>
      <c r="AZ450" s="22">
        <v>6</v>
      </c>
      <c r="BA450" s="22">
        <v>2</v>
      </c>
      <c r="BB450" s="109">
        <f t="shared" si="165"/>
        <v>4.8966586647130848E-3</v>
      </c>
      <c r="BF450" s="22">
        <v>2</v>
      </c>
      <c r="BG450" s="22">
        <v>6</v>
      </c>
      <c r="BH450" s="109">
        <f t="shared" si="162"/>
        <v>2.0612583607058331E-3</v>
      </c>
      <c r="BK450" s="109">
        <f t="shared" si="135"/>
        <v>2.928927312411715E-3</v>
      </c>
      <c r="BL450" s="107" t="s">
        <v>201</v>
      </c>
      <c r="BN450" s="107"/>
      <c r="BO450" s="109">
        <f>SUM(BB436:BB440,BB442:BB461,BB441)</f>
        <v>0.39525452125693672</v>
      </c>
      <c r="BP450" s="108">
        <f t="shared" si="136"/>
        <v>2.5300153349794225</v>
      </c>
      <c r="BQ450" s="107"/>
      <c r="BR450" s="109">
        <f>SUM(BB434:BB435)</f>
        <v>8.4357773260907779E-2</v>
      </c>
      <c r="BS450" s="108">
        <f t="shared" si="164"/>
        <v>11.854272123887483</v>
      </c>
    </row>
    <row r="451" spans="2:71">
      <c r="B451" s="22">
        <f t="shared" si="175"/>
        <v>4</v>
      </c>
      <c r="C451" s="107" t="s">
        <v>257</v>
      </c>
      <c r="D451" s="107" t="s">
        <v>247</v>
      </c>
      <c r="E451" s="113">
        <f>DATA!C17</f>
        <v>4</v>
      </c>
      <c r="F451" s="113" t="str">
        <f>DATA!D17</f>
        <v>Команда 2</v>
      </c>
      <c r="G451" s="107" t="str">
        <f>DATA!E17</f>
        <v>1:4</v>
      </c>
      <c r="H451" s="107"/>
      <c r="I451" s="22">
        <f t="shared" si="166"/>
        <v>2</v>
      </c>
      <c r="J451" s="107">
        <f t="shared" si="167"/>
        <v>1</v>
      </c>
      <c r="K451" s="107">
        <f t="shared" si="168"/>
        <v>4</v>
      </c>
      <c r="L451" s="22">
        <f t="shared" si="176"/>
        <v>4</v>
      </c>
      <c r="M451" s="22">
        <f t="shared" si="177"/>
        <v>1</v>
      </c>
      <c r="N451" s="22">
        <f t="shared" si="169"/>
        <v>3</v>
      </c>
      <c r="O451" s="22">
        <f t="shared" si="170"/>
        <v>1</v>
      </c>
      <c r="P451" s="22" t="str">
        <f t="shared" si="171"/>
        <v>W</v>
      </c>
      <c r="Q451" s="22" t="str">
        <f t="shared" si="172"/>
        <v>over 2.5 goals</v>
      </c>
      <c r="R451" s="22">
        <f t="shared" si="173"/>
        <v>3</v>
      </c>
      <c r="S451" s="22">
        <f t="shared" si="174"/>
        <v>5</v>
      </c>
      <c r="U451" s="22">
        <f>1+U450</f>
        <v>2</v>
      </c>
      <c r="V451" s="22">
        <f>IF(F449=B447,E449,"-")</f>
        <v>2</v>
      </c>
      <c r="W451" s="22" t="str">
        <f>IF(F449=$B$447,F449,"-")</f>
        <v>Команда 2</v>
      </c>
      <c r="X451" s="22" t="str">
        <f t="shared" si="178"/>
        <v>2:2</v>
      </c>
      <c r="Y451" s="22">
        <f t="shared" si="179"/>
        <v>2</v>
      </c>
      <c r="Z451" s="107">
        <f t="shared" si="180"/>
        <v>2</v>
      </c>
      <c r="AA451" s="107">
        <f t="shared" si="181"/>
        <v>2</v>
      </c>
      <c r="AB451" s="22">
        <f t="shared" ref="AB451:AC459" si="182">IFERROR(Z451,"")</f>
        <v>2</v>
      </c>
      <c r="AC451" s="22">
        <f t="shared" si="182"/>
        <v>2</v>
      </c>
      <c r="AD451" s="22">
        <f t="shared" ref="AD451:AD459" si="183">IF(OR(AB451="",AC451=""),"",AC451)</f>
        <v>2</v>
      </c>
      <c r="AE451" s="22">
        <f t="shared" ref="AE451:AE459" si="184">IF(OR(AB451="",AC451=""),"",AB451)</f>
        <v>2</v>
      </c>
      <c r="AF451" s="22">
        <f>IF(OR(AD451="",AE451=""),"",IF(AD451&gt;AE451,3,IF(AD451&lt;AE451,0,1)))</f>
        <v>1</v>
      </c>
      <c r="AG451" s="22">
        <f t="shared" ref="AG451:AG459" si="185">IF(AF451="","",IF(AF451=3,1,IF(AF451=1,0.5,IF(AF451=0,0))))</f>
        <v>0.5</v>
      </c>
      <c r="AH451" s="22" t="str">
        <f t="shared" ref="AH451:AH459" si="186">IF(AF451="","",IF(AF451=1,"D",IF(AF451=0,"L",IF(AF451=3,"W"))))</f>
        <v>D</v>
      </c>
      <c r="AI451" s="22">
        <f t="shared" ref="AI451:AI459" si="187">IF(OR(AD451="",AE451=""),"",AD451-AE451)</f>
        <v>0</v>
      </c>
      <c r="AJ451" s="22">
        <f t="shared" ref="AJ451:AJ459" si="188">SUM(AD451:AE451)</f>
        <v>4</v>
      </c>
      <c r="AY451" s="108"/>
      <c r="AZ451" s="22">
        <v>7</v>
      </c>
      <c r="BA451" s="22">
        <v>2</v>
      </c>
      <c r="BB451" s="109">
        <f t="shared" si="165"/>
        <v>1.5583810512301195E-3</v>
      </c>
      <c r="BF451" s="22">
        <v>2</v>
      </c>
      <c r="BG451" s="22">
        <v>7</v>
      </c>
      <c r="BH451" s="109">
        <f t="shared" si="162"/>
        <v>5.2840194484760669E-4</v>
      </c>
      <c r="BK451" s="109">
        <f t="shared" si="135"/>
        <v>9.3214273990246011E-4</v>
      </c>
      <c r="BL451" s="107" t="s">
        <v>202</v>
      </c>
      <c r="BN451" s="107"/>
      <c r="BO451" s="109">
        <f>SUM(BE436:BE441)</f>
        <v>0.11272120517219721</v>
      </c>
      <c r="BP451" s="108">
        <f t="shared" si="136"/>
        <v>8.8714452482331243</v>
      </c>
      <c r="BQ451" s="107"/>
      <c r="BR451" s="109">
        <f>SUM(BE434:BE435)</f>
        <v>8.9522997497884518E-2</v>
      </c>
      <c r="BS451" s="108">
        <f t="shared" si="164"/>
        <v>11.17031408631766</v>
      </c>
    </row>
    <row r="452" spans="2:71">
      <c r="B452" s="22">
        <f t="shared" si="175"/>
        <v>5</v>
      </c>
      <c r="C452" s="107" t="s">
        <v>251</v>
      </c>
      <c r="D452" s="107" t="s">
        <v>247</v>
      </c>
      <c r="E452" s="113">
        <f>DATA!C18</f>
        <v>5</v>
      </c>
      <c r="F452" s="113" t="str">
        <f>DATA!D18</f>
        <v>Команда 2</v>
      </c>
      <c r="G452" s="107" t="str">
        <f>DATA!E18</f>
        <v>4:1</v>
      </c>
      <c r="H452" s="107"/>
      <c r="I452" s="22">
        <f t="shared" si="166"/>
        <v>2</v>
      </c>
      <c r="J452" s="107">
        <f t="shared" si="167"/>
        <v>4</v>
      </c>
      <c r="K452" s="107">
        <f t="shared" si="168"/>
        <v>1</v>
      </c>
      <c r="L452" s="22">
        <f t="shared" si="176"/>
        <v>1</v>
      </c>
      <c r="M452" s="22">
        <f t="shared" si="177"/>
        <v>4</v>
      </c>
      <c r="N452" s="22">
        <f t="shared" si="169"/>
        <v>0</v>
      </c>
      <c r="O452" s="22">
        <f t="shared" si="170"/>
        <v>0</v>
      </c>
      <c r="P452" s="22" t="str">
        <f t="shared" si="171"/>
        <v>L</v>
      </c>
      <c r="Q452" s="22" t="str">
        <f t="shared" si="172"/>
        <v>over 2.5 goals</v>
      </c>
      <c r="R452" s="22">
        <f t="shared" si="173"/>
        <v>-3</v>
      </c>
      <c r="S452" s="22">
        <f t="shared" si="174"/>
        <v>5</v>
      </c>
      <c r="U452" s="22">
        <f t="shared" ref="U452:U459" si="189">1+U451</f>
        <v>3</v>
      </c>
      <c r="V452" s="22">
        <f>IF(F450=B447,E450,"-")</f>
        <v>3</v>
      </c>
      <c r="W452" s="22" t="str">
        <f>IF(F450=$B$447,F450,"-")</f>
        <v>Команда 2</v>
      </c>
      <c r="X452" s="22" t="str">
        <f t="shared" si="178"/>
        <v>4:1</v>
      </c>
      <c r="Y452" s="22">
        <f t="shared" si="179"/>
        <v>2</v>
      </c>
      <c r="Z452" s="107">
        <f t="shared" si="180"/>
        <v>4</v>
      </c>
      <c r="AA452" s="107">
        <f t="shared" si="181"/>
        <v>1</v>
      </c>
      <c r="AB452" s="22">
        <f t="shared" si="182"/>
        <v>4</v>
      </c>
      <c r="AC452" s="22">
        <f t="shared" si="182"/>
        <v>1</v>
      </c>
      <c r="AD452" s="22">
        <f t="shared" si="183"/>
        <v>1</v>
      </c>
      <c r="AE452" s="22">
        <f t="shared" si="184"/>
        <v>4</v>
      </c>
      <c r="AF452" s="22">
        <f>IF(OR(AD452="",AE452=""),"",IF(AD452&gt;AE452,3,IF(AD452&lt;AE452,0,1)))</f>
        <v>0</v>
      </c>
      <c r="AG452" s="22">
        <f t="shared" si="185"/>
        <v>0</v>
      </c>
      <c r="AH452" s="22" t="str">
        <f t="shared" si="186"/>
        <v>L</v>
      </c>
      <c r="AI452" s="22">
        <f t="shared" si="187"/>
        <v>-3</v>
      </c>
      <c r="AJ452" s="22">
        <f t="shared" si="188"/>
        <v>5</v>
      </c>
      <c r="AY452" s="108"/>
      <c r="AZ452" s="22">
        <v>4</v>
      </c>
      <c r="BA452" s="22">
        <v>3</v>
      </c>
      <c r="BB452" s="109">
        <f t="shared" si="165"/>
        <v>1.7704599770301106E-2</v>
      </c>
      <c r="BF452" s="22">
        <v>3</v>
      </c>
      <c r="BG452" s="22">
        <v>4</v>
      </c>
      <c r="BH452" s="109">
        <f t="shared" si="162"/>
        <v>1.4260812283808627E-2</v>
      </c>
      <c r="BK452" s="109">
        <f t="shared" si="135"/>
        <v>3.5388161667418362E-3</v>
      </c>
      <c r="BL452" s="107" t="s">
        <v>203</v>
      </c>
      <c r="BN452" s="107"/>
      <c r="BO452" s="109">
        <f>SUM(BH436:BH440,BH442:BH461,BH441)</f>
        <v>0.25447516984799934</v>
      </c>
      <c r="BP452" s="108">
        <f t="shared" si="136"/>
        <v>3.9296564792443616</v>
      </c>
      <c r="BQ452" s="107"/>
      <c r="BR452" s="109">
        <f>SUM(BH434:BH435)</f>
        <v>6.0984477050853823E-2</v>
      </c>
      <c r="BS452" s="108">
        <f t="shared" si="164"/>
        <v>16.397615399179674</v>
      </c>
    </row>
    <row r="453" spans="2:71">
      <c r="B453" s="22">
        <f t="shared" si="175"/>
        <v>6</v>
      </c>
      <c r="C453" s="107" t="s">
        <v>252</v>
      </c>
      <c r="D453" s="107" t="s">
        <v>247</v>
      </c>
      <c r="E453" s="113">
        <f>DATA!C19</f>
        <v>6</v>
      </c>
      <c r="F453" s="113" t="str">
        <f>DATA!D19</f>
        <v>Команда 2</v>
      </c>
      <c r="G453" s="107" t="str">
        <f>DATA!E19</f>
        <v>4:3</v>
      </c>
      <c r="H453" s="107"/>
      <c r="I453" s="22">
        <f t="shared" si="166"/>
        <v>2</v>
      </c>
      <c r="J453" s="107">
        <f t="shared" si="167"/>
        <v>4</v>
      </c>
      <c r="K453" s="107">
        <f t="shared" si="168"/>
        <v>3</v>
      </c>
      <c r="L453" s="22">
        <f t="shared" si="176"/>
        <v>3</v>
      </c>
      <c r="M453" s="22">
        <f t="shared" si="177"/>
        <v>4</v>
      </c>
      <c r="N453" s="22">
        <f t="shared" si="169"/>
        <v>0</v>
      </c>
      <c r="O453" s="22">
        <f t="shared" si="170"/>
        <v>0</v>
      </c>
      <c r="P453" s="22" t="str">
        <f t="shared" si="171"/>
        <v>L</v>
      </c>
      <c r="Q453" s="22" t="str">
        <f t="shared" si="172"/>
        <v>over 2.5 goals</v>
      </c>
      <c r="R453" s="22">
        <f t="shared" si="173"/>
        <v>-1</v>
      </c>
      <c r="S453" s="22">
        <f t="shared" si="174"/>
        <v>7</v>
      </c>
      <c r="U453" s="22">
        <f t="shared" si="189"/>
        <v>4</v>
      </c>
      <c r="V453" s="22">
        <f>IF(F451=B447,E451,"-")</f>
        <v>4</v>
      </c>
      <c r="W453" s="22" t="str">
        <f t="shared" ref="W453:W459" si="190">IF(F451=$B$447,F451,"-")</f>
        <v>Команда 2</v>
      </c>
      <c r="X453" s="22" t="str">
        <f t="shared" si="178"/>
        <v>1:4</v>
      </c>
      <c r="Y453" s="22">
        <f t="shared" si="179"/>
        <v>2</v>
      </c>
      <c r="Z453" s="107">
        <f t="shared" si="180"/>
        <v>1</v>
      </c>
      <c r="AA453" s="107">
        <f t="shared" si="181"/>
        <v>4</v>
      </c>
      <c r="AB453" s="22">
        <f t="shared" si="182"/>
        <v>1</v>
      </c>
      <c r="AC453" s="22">
        <f t="shared" si="182"/>
        <v>4</v>
      </c>
      <c r="AD453" s="22">
        <f t="shared" si="183"/>
        <v>4</v>
      </c>
      <c r="AE453" s="22">
        <f t="shared" si="184"/>
        <v>1</v>
      </c>
      <c r="AF453" s="22">
        <f t="shared" ref="AF453:AF459" si="191">IF(OR(AD453="",AE453=""),"",IF(AD453&gt;AE453,3,IF(AD453&lt;AE453,0,1)))</f>
        <v>3</v>
      </c>
      <c r="AG453" s="22">
        <f t="shared" si="185"/>
        <v>1</v>
      </c>
      <c r="AH453" s="22" t="str">
        <f t="shared" si="186"/>
        <v>W</v>
      </c>
      <c r="AI453" s="22">
        <f t="shared" si="187"/>
        <v>3</v>
      </c>
      <c r="AJ453" s="22">
        <f t="shared" si="188"/>
        <v>5</v>
      </c>
      <c r="AY453" s="108"/>
      <c r="AZ453" s="22">
        <v>5</v>
      </c>
      <c r="BA453" s="22">
        <v>3</v>
      </c>
      <c r="BB453" s="109">
        <f t="shared" si="165"/>
        <v>7.8883827865452658E-3</v>
      </c>
      <c r="BF453" s="22">
        <v>3</v>
      </c>
      <c r="BG453" s="22">
        <v>5</v>
      </c>
      <c r="BH453" s="109">
        <f t="shared" si="162"/>
        <v>5.1180470751890977E-3</v>
      </c>
      <c r="BK453" s="109">
        <f t="shared" si="135"/>
        <v>1.3139493359847004E-3</v>
      </c>
      <c r="BL453" s="107" t="s">
        <v>204</v>
      </c>
      <c r="BN453" s="107"/>
    </row>
    <row r="454" spans="2:71">
      <c r="B454" s="22">
        <f t="shared" si="175"/>
        <v>7</v>
      </c>
      <c r="C454" s="107" t="s">
        <v>253</v>
      </c>
      <c r="D454" s="107" t="s">
        <v>247</v>
      </c>
      <c r="E454" s="113">
        <f>DATA!C20</f>
        <v>7</v>
      </c>
      <c r="F454" s="113" t="str">
        <f>DATA!D20</f>
        <v>Команда 2</v>
      </c>
      <c r="G454" s="107" t="str">
        <f>DATA!E20</f>
        <v>6:0</v>
      </c>
      <c r="H454" s="107"/>
      <c r="I454" s="22">
        <f t="shared" si="166"/>
        <v>2</v>
      </c>
      <c r="J454" s="107">
        <f t="shared" si="167"/>
        <v>6</v>
      </c>
      <c r="K454" s="107">
        <f t="shared" si="168"/>
        <v>0</v>
      </c>
      <c r="L454" s="22">
        <f t="shared" si="176"/>
        <v>0</v>
      </c>
      <c r="M454" s="22">
        <f t="shared" si="177"/>
        <v>6</v>
      </c>
      <c r="N454" s="22">
        <f t="shared" si="169"/>
        <v>0</v>
      </c>
      <c r="O454" s="22">
        <f t="shared" si="170"/>
        <v>0</v>
      </c>
      <c r="P454" s="22" t="str">
        <f t="shared" si="171"/>
        <v>L</v>
      </c>
      <c r="Q454" s="22" t="str">
        <f t="shared" si="172"/>
        <v>over 2.5 goals</v>
      </c>
      <c r="R454" s="22">
        <f t="shared" si="173"/>
        <v>-6</v>
      </c>
      <c r="S454" s="22">
        <f t="shared" si="174"/>
        <v>6</v>
      </c>
      <c r="U454" s="22">
        <f t="shared" si="189"/>
        <v>5</v>
      </c>
      <c r="V454" s="22">
        <f>IF(F452=$B$447,E452,"-")</f>
        <v>5</v>
      </c>
      <c r="W454" s="22" t="str">
        <f t="shared" si="190"/>
        <v>Команда 2</v>
      </c>
      <c r="X454" s="22" t="str">
        <f t="shared" si="178"/>
        <v>4:1</v>
      </c>
      <c r="Y454" s="22">
        <f t="shared" si="179"/>
        <v>2</v>
      </c>
      <c r="Z454" s="107">
        <f t="shared" si="180"/>
        <v>4</v>
      </c>
      <c r="AA454" s="107">
        <f t="shared" si="181"/>
        <v>1</v>
      </c>
      <c r="AB454" s="22">
        <f t="shared" si="182"/>
        <v>4</v>
      </c>
      <c r="AC454" s="22">
        <f t="shared" si="182"/>
        <v>1</v>
      </c>
      <c r="AD454" s="22">
        <f t="shared" si="183"/>
        <v>1</v>
      </c>
      <c r="AE454" s="22">
        <f t="shared" si="184"/>
        <v>4</v>
      </c>
      <c r="AF454" s="22">
        <f t="shared" si="191"/>
        <v>0</v>
      </c>
      <c r="AG454" s="22">
        <f t="shared" si="185"/>
        <v>0</v>
      </c>
      <c r="AH454" s="22" t="str">
        <f t="shared" si="186"/>
        <v>L</v>
      </c>
      <c r="AI454" s="22">
        <f t="shared" si="187"/>
        <v>-3</v>
      </c>
      <c r="AJ454" s="22">
        <f t="shared" si="188"/>
        <v>5</v>
      </c>
      <c r="AZ454" s="22">
        <v>6</v>
      </c>
      <c r="BA454" s="22">
        <v>3</v>
      </c>
      <c r="BB454" s="109">
        <f t="shared" si="165"/>
        <v>2.928927312411715E-3</v>
      </c>
      <c r="BF454" s="22">
        <v>3</v>
      </c>
      <c r="BG454" s="22">
        <v>6</v>
      </c>
      <c r="BH454" s="109">
        <f t="shared" si="162"/>
        <v>1.530675190079702E-3</v>
      </c>
      <c r="BK454" s="109">
        <f t="shared" si="135"/>
        <v>4.1816959026179823E-4</v>
      </c>
      <c r="BL454" s="107" t="s">
        <v>205</v>
      </c>
      <c r="BN454" s="107"/>
    </row>
    <row r="455" spans="2:71">
      <c r="B455" s="22">
        <f t="shared" si="175"/>
        <v>8</v>
      </c>
      <c r="C455" s="107" t="s">
        <v>254</v>
      </c>
      <c r="D455" s="107" t="s">
        <v>247</v>
      </c>
      <c r="E455" s="113">
        <f>DATA!C21</f>
        <v>8</v>
      </c>
      <c r="F455" s="113" t="str">
        <f>DATA!D21</f>
        <v>Команда 2</v>
      </c>
      <c r="G455" s="107" t="str">
        <f>DATA!E21</f>
        <v>4:1</v>
      </c>
      <c r="H455" s="107"/>
      <c r="I455" s="22">
        <f t="shared" si="166"/>
        <v>2</v>
      </c>
      <c r="J455" s="107">
        <f t="shared" si="167"/>
        <v>4</v>
      </c>
      <c r="K455" s="107">
        <f t="shared" si="168"/>
        <v>1</v>
      </c>
      <c r="L455" s="22">
        <f t="shared" si="176"/>
        <v>1</v>
      </c>
      <c r="M455" s="22">
        <f t="shared" si="177"/>
        <v>4</v>
      </c>
      <c r="N455" s="22">
        <f t="shared" si="169"/>
        <v>0</v>
      </c>
      <c r="O455" s="22">
        <f t="shared" si="170"/>
        <v>0</v>
      </c>
      <c r="P455" s="22" t="str">
        <f t="shared" si="171"/>
        <v>L</v>
      </c>
      <c r="Q455" s="22" t="str">
        <f t="shared" si="172"/>
        <v>over 2.5 goals</v>
      </c>
      <c r="R455" s="22">
        <f t="shared" si="173"/>
        <v>-3</v>
      </c>
      <c r="S455" s="22">
        <f t="shared" si="174"/>
        <v>5</v>
      </c>
      <c r="U455" s="22">
        <f t="shared" si="189"/>
        <v>6</v>
      </c>
      <c r="V455" s="22">
        <f>IF(F453=B447,E453,"-")</f>
        <v>6</v>
      </c>
      <c r="W455" s="22" t="str">
        <f t="shared" si="190"/>
        <v>Команда 2</v>
      </c>
      <c r="X455" s="22" t="str">
        <f t="shared" si="178"/>
        <v>4:3</v>
      </c>
      <c r="Y455" s="22">
        <f t="shared" si="179"/>
        <v>2</v>
      </c>
      <c r="Z455" s="107">
        <f t="shared" si="180"/>
        <v>4</v>
      </c>
      <c r="AA455" s="107">
        <f t="shared" si="181"/>
        <v>3</v>
      </c>
      <c r="AB455" s="22">
        <f t="shared" si="182"/>
        <v>4</v>
      </c>
      <c r="AC455" s="22">
        <f t="shared" si="182"/>
        <v>3</v>
      </c>
      <c r="AD455" s="22">
        <f t="shared" si="183"/>
        <v>3</v>
      </c>
      <c r="AE455" s="22">
        <f t="shared" si="184"/>
        <v>4</v>
      </c>
      <c r="AF455" s="22">
        <f t="shared" si="191"/>
        <v>0</v>
      </c>
      <c r="AG455" s="22">
        <f t="shared" si="185"/>
        <v>0</v>
      </c>
      <c r="AH455" s="22" t="str">
        <f t="shared" si="186"/>
        <v>L</v>
      </c>
      <c r="AI455" s="22">
        <f t="shared" si="187"/>
        <v>-1</v>
      </c>
      <c r="AJ455" s="22">
        <f t="shared" si="188"/>
        <v>7</v>
      </c>
      <c r="AL455" s="108"/>
      <c r="AM455" s="108"/>
      <c r="AZ455" s="22">
        <v>7</v>
      </c>
      <c r="BA455" s="22">
        <v>3</v>
      </c>
      <c r="BB455" s="109">
        <f t="shared" si="165"/>
        <v>9.3214273990246011E-4</v>
      </c>
      <c r="BF455" s="22">
        <v>3</v>
      </c>
      <c r="BG455" s="22">
        <v>7</v>
      </c>
      <c r="BH455" s="109">
        <f t="shared" si="162"/>
        <v>3.9238737015535245E-4</v>
      </c>
      <c r="BK455" s="109">
        <f t="shared" si="135"/>
        <v>4.7156181724784259E-4</v>
      </c>
      <c r="BL455" s="107" t="s">
        <v>206</v>
      </c>
      <c r="BN455" s="107"/>
    </row>
    <row r="456" spans="2:71">
      <c r="B456" s="22">
        <f t="shared" si="175"/>
        <v>9</v>
      </c>
      <c r="C456" s="107" t="s">
        <v>255</v>
      </c>
      <c r="D456" s="107" t="s">
        <v>247</v>
      </c>
      <c r="E456" s="113">
        <f>DATA!C22</f>
        <v>9</v>
      </c>
      <c r="F456" s="113" t="str">
        <f>DATA!D22</f>
        <v>Команда 2</v>
      </c>
      <c r="G456" s="107" t="str">
        <f>DATA!E22</f>
        <v>2:0</v>
      </c>
      <c r="H456" s="107"/>
      <c r="I456" s="22">
        <f t="shared" si="166"/>
        <v>2</v>
      </c>
      <c r="J456" s="107">
        <f t="shared" si="167"/>
        <v>2</v>
      </c>
      <c r="K456" s="107">
        <f t="shared" si="168"/>
        <v>0</v>
      </c>
      <c r="L456" s="22">
        <f t="shared" si="176"/>
        <v>0</v>
      </c>
      <c r="M456" s="22">
        <f t="shared" si="177"/>
        <v>2</v>
      </c>
      <c r="N456" s="22">
        <f t="shared" si="169"/>
        <v>0</v>
      </c>
      <c r="O456" s="22">
        <f t="shared" si="170"/>
        <v>0</v>
      </c>
      <c r="P456" s="22" t="str">
        <f t="shared" si="171"/>
        <v>L</v>
      </c>
      <c r="Q456" s="22" t="str">
        <f t="shared" si="172"/>
        <v>under 2.5 goals</v>
      </c>
      <c r="R456" s="22">
        <f t="shared" si="173"/>
        <v>-2</v>
      </c>
      <c r="S456" s="22">
        <f t="shared" si="174"/>
        <v>2</v>
      </c>
      <c r="U456" s="22">
        <f t="shared" si="189"/>
        <v>7</v>
      </c>
      <c r="V456" s="22">
        <f>IF(F454=B447,E454,"-")</f>
        <v>7</v>
      </c>
      <c r="W456" s="22" t="str">
        <f t="shared" si="190"/>
        <v>Команда 2</v>
      </c>
      <c r="X456" s="22" t="str">
        <f t="shared" si="178"/>
        <v>6:0</v>
      </c>
      <c r="Y456" s="22">
        <f t="shared" si="179"/>
        <v>2</v>
      </c>
      <c r="Z456" s="107">
        <f t="shared" si="180"/>
        <v>6</v>
      </c>
      <c r="AA456" s="107">
        <f t="shared" si="181"/>
        <v>0</v>
      </c>
      <c r="AB456" s="22">
        <f t="shared" si="182"/>
        <v>6</v>
      </c>
      <c r="AC456" s="22">
        <f t="shared" si="182"/>
        <v>0</v>
      </c>
      <c r="AD456" s="22">
        <f t="shared" si="183"/>
        <v>0</v>
      </c>
      <c r="AE456" s="22">
        <f t="shared" si="184"/>
        <v>6</v>
      </c>
      <c r="AF456" s="22">
        <f t="shared" si="191"/>
        <v>0</v>
      </c>
      <c r="AG456" s="22">
        <f t="shared" si="185"/>
        <v>0</v>
      </c>
      <c r="AH456" s="22" t="str">
        <f t="shared" si="186"/>
        <v>L</v>
      </c>
      <c r="AI456" s="22">
        <f t="shared" si="187"/>
        <v>-6</v>
      </c>
      <c r="AJ456" s="22">
        <f t="shared" si="188"/>
        <v>6</v>
      </c>
      <c r="AZ456" s="22">
        <v>5</v>
      </c>
      <c r="BA456" s="22">
        <v>4</v>
      </c>
      <c r="BB456" s="109">
        <f t="shared" si="165"/>
        <v>3.5388161667418362E-3</v>
      </c>
      <c r="BF456" s="22">
        <v>4</v>
      </c>
      <c r="BG456" s="22">
        <v>5</v>
      </c>
      <c r="BH456" s="109">
        <f t="shared" si="162"/>
        <v>2.8504678849317058E-3</v>
      </c>
      <c r="BK456" s="109">
        <f t="shared" si="135"/>
        <v>1.5007641961617874E-4</v>
      </c>
      <c r="BL456" s="107" t="s">
        <v>207</v>
      </c>
      <c r="BN456" s="107"/>
    </row>
    <row r="457" spans="2:71">
      <c r="B457" s="22">
        <f t="shared" si="175"/>
        <v>10</v>
      </c>
      <c r="C457" s="107" t="s">
        <v>256</v>
      </c>
      <c r="D457" s="107" t="s">
        <v>247</v>
      </c>
      <c r="E457" s="113">
        <f>DATA!C23</f>
        <v>10</v>
      </c>
      <c r="F457" s="113" t="str">
        <f>DATA!D23</f>
        <v>Команда 2</v>
      </c>
      <c r="G457" s="107" t="str">
        <f>DATA!E23</f>
        <v>1:1</v>
      </c>
      <c r="H457" s="107"/>
      <c r="I457" s="22">
        <f t="shared" si="166"/>
        <v>2</v>
      </c>
      <c r="J457" s="107">
        <f t="shared" si="167"/>
        <v>1</v>
      </c>
      <c r="K457" s="107">
        <f t="shared" si="168"/>
        <v>1</v>
      </c>
      <c r="L457" s="22">
        <f t="shared" si="176"/>
        <v>1</v>
      </c>
      <c r="M457" s="22">
        <f t="shared" si="177"/>
        <v>1</v>
      </c>
      <c r="N457" s="22">
        <f t="shared" si="169"/>
        <v>1</v>
      </c>
      <c r="O457" s="22">
        <f t="shared" si="170"/>
        <v>0.5</v>
      </c>
      <c r="P457" s="22" t="str">
        <f t="shared" si="171"/>
        <v>D</v>
      </c>
      <c r="Q457" s="22" t="str">
        <f t="shared" si="172"/>
        <v>under 2.5 goals</v>
      </c>
      <c r="R457" s="22">
        <f t="shared" si="173"/>
        <v>0</v>
      </c>
      <c r="S457" s="22">
        <f t="shared" si="174"/>
        <v>2</v>
      </c>
      <c r="U457" s="22">
        <f t="shared" si="189"/>
        <v>8</v>
      </c>
      <c r="V457" s="22">
        <f>IF(F455=B447,E455,"-")</f>
        <v>8</v>
      </c>
      <c r="W457" s="22" t="str">
        <f t="shared" si="190"/>
        <v>Команда 2</v>
      </c>
      <c r="X457" s="22" t="str">
        <f t="shared" si="178"/>
        <v>4:1</v>
      </c>
      <c r="Y457" s="22">
        <f t="shared" si="179"/>
        <v>2</v>
      </c>
      <c r="Z457" s="107">
        <f t="shared" si="180"/>
        <v>4</v>
      </c>
      <c r="AA457" s="107">
        <f t="shared" si="181"/>
        <v>1</v>
      </c>
      <c r="AB457" s="22">
        <f t="shared" si="182"/>
        <v>4</v>
      </c>
      <c r="AC457" s="22">
        <f t="shared" si="182"/>
        <v>1</v>
      </c>
      <c r="AD457" s="22">
        <f t="shared" si="183"/>
        <v>1</v>
      </c>
      <c r="AE457" s="22">
        <f t="shared" si="184"/>
        <v>4</v>
      </c>
      <c r="AF457" s="22">
        <f t="shared" si="191"/>
        <v>0</v>
      </c>
      <c r="AG457" s="22">
        <f t="shared" si="185"/>
        <v>0</v>
      </c>
      <c r="AH457" s="22" t="str">
        <f t="shared" si="186"/>
        <v>L</v>
      </c>
      <c r="AI457" s="22">
        <f t="shared" si="187"/>
        <v>-3</v>
      </c>
      <c r="AJ457" s="22">
        <f t="shared" si="188"/>
        <v>5</v>
      </c>
      <c r="AZ457" s="22">
        <v>6</v>
      </c>
      <c r="BA457" s="22">
        <v>4</v>
      </c>
      <c r="BB457" s="109">
        <f t="shared" si="165"/>
        <v>1.3139493359847004E-3</v>
      </c>
      <c r="BF457" s="22">
        <v>4</v>
      </c>
      <c r="BG457" s="22">
        <v>6</v>
      </c>
      <c r="BH457" s="109">
        <f t="shared" si="162"/>
        <v>8.5250104336383409E-4</v>
      </c>
      <c r="BK457" s="109">
        <f t="shared" si="135"/>
        <v>4.4883966237060859E-5</v>
      </c>
      <c r="BL457" s="107" t="s">
        <v>208</v>
      </c>
      <c r="BN457" s="107"/>
    </row>
    <row r="458" spans="2:71">
      <c r="C458" s="107"/>
      <c r="D458" s="107"/>
      <c r="E458" s="107"/>
      <c r="F458" s="107"/>
      <c r="G458" s="107"/>
      <c r="H458" s="107"/>
      <c r="J458" s="107"/>
      <c r="K458" s="107"/>
      <c r="U458" s="22">
        <f t="shared" si="189"/>
        <v>9</v>
      </c>
      <c r="V458" s="22">
        <f>IF(F456=B447,E456,"-")</f>
        <v>9</v>
      </c>
      <c r="W458" s="22" t="str">
        <f t="shared" si="190"/>
        <v>Команда 2</v>
      </c>
      <c r="X458" s="22" t="str">
        <f t="shared" si="178"/>
        <v>2:0</v>
      </c>
      <c r="Y458" s="22">
        <f t="shared" si="179"/>
        <v>2</v>
      </c>
      <c r="Z458" s="107">
        <f t="shared" si="180"/>
        <v>2</v>
      </c>
      <c r="AA458" s="107">
        <f t="shared" si="181"/>
        <v>0</v>
      </c>
      <c r="AB458" s="22">
        <f t="shared" si="182"/>
        <v>2</v>
      </c>
      <c r="AC458" s="22">
        <f t="shared" si="182"/>
        <v>0</v>
      </c>
      <c r="AD458" s="22">
        <f t="shared" si="183"/>
        <v>0</v>
      </c>
      <c r="AE458" s="22">
        <f t="shared" si="184"/>
        <v>2</v>
      </c>
      <c r="AF458" s="22">
        <f t="shared" si="191"/>
        <v>0</v>
      </c>
      <c r="AG458" s="22">
        <f t="shared" si="185"/>
        <v>0</v>
      </c>
      <c r="AH458" s="22" t="str">
        <f t="shared" si="186"/>
        <v>L</v>
      </c>
      <c r="AI458" s="22">
        <f t="shared" si="187"/>
        <v>-2</v>
      </c>
      <c r="AJ458" s="22">
        <f t="shared" si="188"/>
        <v>2</v>
      </c>
      <c r="AZ458" s="22">
        <v>7</v>
      </c>
      <c r="BA458" s="22">
        <v>4</v>
      </c>
      <c r="BB458" s="109">
        <f t="shared" si="165"/>
        <v>4.1816959026179823E-4</v>
      </c>
      <c r="BF458" s="22">
        <v>4</v>
      </c>
      <c r="BG458" s="22">
        <v>7</v>
      </c>
      <c r="BH458" s="109">
        <f t="shared" si="162"/>
        <v>2.1853796587818934E-4</v>
      </c>
      <c r="BK458" s="109">
        <f>BE434</f>
        <v>1.7913113757350458E-2</v>
      </c>
      <c r="BL458" s="107" t="s">
        <v>209</v>
      </c>
      <c r="BN458" s="107"/>
    </row>
    <row r="459" spans="2:71">
      <c r="C459" s="107"/>
      <c r="D459" s="107"/>
      <c r="E459" s="107"/>
      <c r="F459" s="107"/>
      <c r="G459" s="107"/>
      <c r="H459" s="107"/>
      <c r="J459" s="107"/>
      <c r="K459" s="107"/>
      <c r="U459" s="22">
        <f t="shared" si="189"/>
        <v>10</v>
      </c>
      <c r="V459" s="22">
        <f>IF(F457=B447,E457,"-")</f>
        <v>10</v>
      </c>
      <c r="W459" s="22" t="str">
        <f t="shared" si="190"/>
        <v>Команда 2</v>
      </c>
      <c r="X459" s="22" t="str">
        <f t="shared" si="178"/>
        <v>1:1</v>
      </c>
      <c r="Y459" s="22">
        <f t="shared" si="179"/>
        <v>2</v>
      </c>
      <c r="Z459" s="107">
        <f t="shared" si="180"/>
        <v>1</v>
      </c>
      <c r="AA459" s="107">
        <f t="shared" si="181"/>
        <v>1</v>
      </c>
      <c r="AB459" s="22">
        <f t="shared" si="182"/>
        <v>1</v>
      </c>
      <c r="AC459" s="22">
        <f t="shared" si="182"/>
        <v>1</v>
      </c>
      <c r="AD459" s="22">
        <f t="shared" si="183"/>
        <v>1</v>
      </c>
      <c r="AE459" s="22">
        <f t="shared" si="184"/>
        <v>1</v>
      </c>
      <c r="AF459" s="22">
        <f t="shared" si="191"/>
        <v>1</v>
      </c>
      <c r="AG459" s="22">
        <f t="shared" si="185"/>
        <v>0.5</v>
      </c>
      <c r="AH459" s="22" t="str">
        <f t="shared" si="186"/>
        <v>D</v>
      </c>
      <c r="AI459" s="22">
        <f t="shared" si="187"/>
        <v>0</v>
      </c>
      <c r="AJ459" s="22">
        <f t="shared" si="188"/>
        <v>2</v>
      </c>
      <c r="AZ459" s="22">
        <v>6</v>
      </c>
      <c r="BA459" s="22">
        <v>5</v>
      </c>
      <c r="BB459" s="109">
        <f t="shared" si="165"/>
        <v>4.7156181724784259E-4</v>
      </c>
      <c r="BF459" s="22">
        <v>5</v>
      </c>
      <c r="BG459" s="22">
        <v>6</v>
      </c>
      <c r="BH459" s="109">
        <f t="shared" si="162"/>
        <v>3.7983657598766364E-4</v>
      </c>
      <c r="BK459" s="109">
        <f t="shared" ref="BK459:BK465" si="192">BE435</f>
        <v>7.1609883740534064E-2</v>
      </c>
      <c r="BL459" s="107" t="s">
        <v>210</v>
      </c>
      <c r="BN459" s="107"/>
    </row>
    <row r="460" spans="2:71">
      <c r="C460" s="107"/>
      <c r="D460" s="107"/>
      <c r="E460" s="107"/>
      <c r="F460" s="107"/>
      <c r="G460" s="107"/>
      <c r="H460" s="107"/>
      <c r="J460" s="107"/>
      <c r="K460" s="107"/>
      <c r="Z460" s="107"/>
      <c r="AA460" s="107"/>
      <c r="AZ460" s="22">
        <v>7</v>
      </c>
      <c r="BA460" s="22">
        <v>5</v>
      </c>
      <c r="BB460" s="109">
        <f t="shared" si="165"/>
        <v>1.5007641961617874E-4</v>
      </c>
      <c r="BF460" s="22">
        <v>5</v>
      </c>
      <c r="BG460" s="22">
        <v>7</v>
      </c>
      <c r="BH460" s="109">
        <f t="shared" si="162"/>
        <v>9.737080479683765E-5</v>
      </c>
      <c r="BK460" s="109">
        <f t="shared" si="192"/>
        <v>7.1567337744793194E-2</v>
      </c>
      <c r="BL460" s="107" t="s">
        <v>211</v>
      </c>
      <c r="BN460" s="107"/>
    </row>
    <row r="461" spans="2:71">
      <c r="C461" s="107"/>
      <c r="D461" s="107"/>
      <c r="E461" s="107"/>
      <c r="F461" s="107"/>
      <c r="G461" s="107"/>
      <c r="H461" s="107"/>
      <c r="J461" s="107"/>
      <c r="K461" s="107"/>
      <c r="Z461" s="107"/>
      <c r="AA461" s="107"/>
      <c r="AZ461" s="22">
        <v>7</v>
      </c>
      <c r="BA461" s="22">
        <v>6</v>
      </c>
      <c r="BB461" s="109">
        <f t="shared" si="165"/>
        <v>4.4883966237060859E-5</v>
      </c>
      <c r="BF461" s="22">
        <v>6</v>
      </c>
      <c r="BG461" s="22">
        <v>7</v>
      </c>
      <c r="BH461" s="109">
        <f t="shared" si="162"/>
        <v>3.6153419188455463E-5</v>
      </c>
      <c r="BK461" s="109">
        <f t="shared" si="192"/>
        <v>3.178880756762293E-2</v>
      </c>
      <c r="BL461" s="107" t="s">
        <v>212</v>
      </c>
      <c r="BN461" s="107"/>
    </row>
    <row r="462" spans="2:71">
      <c r="C462" s="107"/>
      <c r="D462" s="107"/>
      <c r="E462" s="107"/>
      <c r="F462" s="107"/>
      <c r="G462" s="107"/>
      <c r="H462" s="107"/>
      <c r="J462" s="107"/>
      <c r="K462" s="107"/>
      <c r="Z462" s="107"/>
      <c r="AA462" s="107"/>
      <c r="AZ462" s="110">
        <f>SUM(BB434:BB461)</f>
        <v>0.47961229451784448</v>
      </c>
      <c r="BA462" s="110"/>
      <c r="BB462" s="110"/>
      <c r="BC462" s="110">
        <f>1-AZ462</f>
        <v>0.52038770548215552</v>
      </c>
      <c r="BD462" s="110"/>
      <c r="BF462" s="110">
        <f>SUM(BH434:BH461)</f>
        <v>0.31545964689885303</v>
      </c>
      <c r="BG462" s="110"/>
      <c r="BH462" s="110"/>
      <c r="BI462" s="110">
        <f>1-BF462</f>
        <v>0.68454035310114691</v>
      </c>
      <c r="BK462" s="109">
        <f t="shared" si="192"/>
        <v>7.942480174732305E-3</v>
      </c>
      <c r="BL462" s="107" t="s">
        <v>213</v>
      </c>
      <c r="BN462" s="107"/>
    </row>
    <row r="463" spans="2:71">
      <c r="C463" s="111"/>
      <c r="G463" s="112"/>
      <c r="H463" s="112"/>
      <c r="Z463" s="107"/>
      <c r="AA463" s="107"/>
      <c r="AZ463" s="110"/>
      <c r="BA463" s="110"/>
      <c r="BB463" s="110"/>
      <c r="BC463" s="110"/>
      <c r="BD463" s="110"/>
      <c r="BF463" s="110"/>
      <c r="BG463" s="110"/>
      <c r="BH463" s="110"/>
      <c r="BI463" s="110"/>
      <c r="BK463" s="109">
        <f t="shared" si="192"/>
        <v>1.270041802064015E-3</v>
      </c>
      <c r="BL463" s="107" t="s">
        <v>214</v>
      </c>
      <c r="BN463" s="107"/>
    </row>
    <row r="464" spans="2:71">
      <c r="Z464" s="107"/>
      <c r="AA464" s="107"/>
      <c r="AY464" s="22" t="s">
        <v>162</v>
      </c>
      <c r="BB464" s="110">
        <f>SUM(BB434:BB440)</f>
        <v>0.14795184957664256</v>
      </c>
      <c r="BF464" s="110">
        <f>SUM(BH434:BH440)</f>
        <v>8.9795212232477592E-2</v>
      </c>
      <c r="BG464" s="110"/>
      <c r="BH464" s="22" t="s">
        <v>163</v>
      </c>
      <c r="BK464" s="109">
        <f t="shared" si="192"/>
        <v>1.4103191386208622E-4</v>
      </c>
      <c r="BL464" s="107" t="s">
        <v>215</v>
      </c>
      <c r="BN464" s="107"/>
    </row>
    <row r="465" spans="51:66">
      <c r="BB465" s="110"/>
      <c r="BF465" s="110"/>
      <c r="BG465" s="110"/>
      <c r="BK465" s="109">
        <f t="shared" si="192"/>
        <v>1.1505969122675131E-5</v>
      </c>
      <c r="BL465" s="107" t="s">
        <v>216</v>
      </c>
      <c r="BN465" s="107"/>
    </row>
    <row r="466" spans="51:66">
      <c r="BK466" s="109">
        <f>BH434</f>
        <v>3.2144087464578877E-2</v>
      </c>
      <c r="BL466" s="107" t="s">
        <v>217</v>
      </c>
      <c r="BN466" s="107"/>
    </row>
    <row r="467" spans="51:66">
      <c r="AY467" s="22" t="s">
        <v>164</v>
      </c>
      <c r="BC467" s="109">
        <f>LARGE(BK430:BK493,1)</f>
        <v>7.9765453833206018E-2</v>
      </c>
      <c r="BD467" s="109"/>
      <c r="BE467" s="22" t="str">
        <f>VLOOKUP(BC467,BK430:BL493,2,FALSE)</f>
        <v>2 - 1</v>
      </c>
      <c r="BF467" s="22">
        <f>IFERROR(VALUE(LEFT(BE467,FIND("-",BE467,1)-1)),"")</f>
        <v>2</v>
      </c>
      <c r="BG467" s="22">
        <f>IFERROR(VALUE(RIGHT(BE467,FIND("-",BE467,1)-1)),"")</f>
        <v>1</v>
      </c>
      <c r="BH467" s="22">
        <f>BF467+BG467</f>
        <v>3</v>
      </c>
      <c r="BK467" s="109">
        <f t="shared" ref="BK467:BK493" si="193">BH435</f>
        <v>2.8840389586274946E-2</v>
      </c>
      <c r="BL467" s="107" t="s">
        <v>218</v>
      </c>
      <c r="BN467" s="107"/>
    </row>
    <row r="468" spans="51:66">
      <c r="AY468" s="22" t="s">
        <v>165</v>
      </c>
      <c r="BC468" s="109">
        <f>LARGE(BK430:BK493,2)</f>
        <v>7.1609883740534064E-2</v>
      </c>
      <c r="BD468" s="109"/>
      <c r="BE468" s="22" t="str">
        <f>VLOOKUP(BC468,BK430:BL493,2,FALSE)</f>
        <v>1 - 1</v>
      </c>
      <c r="BF468" s="22">
        <f>IFERROR(VALUE(LEFT(BE468,FIND("-",BE468,1)-1)),"")</f>
        <v>1</v>
      </c>
      <c r="BG468" s="22">
        <f>IFERROR(VALUE(RIGHT(BE468,FIND("-",BE468,1)-1)),"")</f>
        <v>1</v>
      </c>
      <c r="BH468" s="22">
        <f>BF468+BG468</f>
        <v>2</v>
      </c>
      <c r="BK468" s="109">
        <f t="shared" si="193"/>
        <v>1.7250825622901488E-2</v>
      </c>
      <c r="BL468" s="107" t="s">
        <v>220</v>
      </c>
      <c r="BN468" s="107"/>
    </row>
    <row r="469" spans="51:66">
      <c r="AY469" s="22" t="s">
        <v>166</v>
      </c>
      <c r="BC469" s="109">
        <f>LARGE(BK430:BK493,3)</f>
        <v>7.1567337744793194E-2</v>
      </c>
      <c r="BD469" s="109"/>
      <c r="BE469" s="22" t="str">
        <f>VLOOKUP(BC469,BK430:BL493,2,FALSE)</f>
        <v>2 - 2</v>
      </c>
      <c r="BF469" s="22">
        <f>IFERROR(VALUE(LEFT(BE469,FIND("-",BE469,1)-1)),"")</f>
        <v>2</v>
      </c>
      <c r="BG469" s="22">
        <f>IFERROR(VALUE(RIGHT(BE469,FIND("-",BE469,1)-1)),"")</f>
        <v>2</v>
      </c>
      <c r="BH469" s="22">
        <f>BF469+BG469</f>
        <v>4</v>
      </c>
      <c r="BK469" s="109">
        <f t="shared" si="193"/>
        <v>7.7389120502738655E-3</v>
      </c>
      <c r="BL469" s="107" t="s">
        <v>222</v>
      </c>
      <c r="BN469" s="107"/>
    </row>
    <row r="470" spans="51:66">
      <c r="AY470" s="22" t="s">
        <v>166</v>
      </c>
      <c r="BC470" s="22">
        <f>LARGE(BK430:BK493,4)</f>
        <v>6.4249979022756962E-2</v>
      </c>
      <c r="BE470" s="22" t="str">
        <f>VLOOKUP(BC470,BK430:BL493,2,FALSE)</f>
        <v>1 - 2</v>
      </c>
      <c r="BK470" s="109">
        <f t="shared" si="193"/>
        <v>2.7774095469316217E-3</v>
      </c>
      <c r="BL470" s="107" t="s">
        <v>223</v>
      </c>
      <c r="BN470" s="107"/>
    </row>
    <row r="471" spans="51:66">
      <c r="AY471" s="22" t="s">
        <v>167</v>
      </c>
      <c r="BC471" s="110">
        <f>AZ462+BC442</f>
        <v>0.68185649718792618</v>
      </c>
      <c r="BD471" s="110"/>
      <c r="BE471" s="110">
        <f>LARGE(BC471:BD473,1)</f>
        <v>0.79507194141669757</v>
      </c>
      <c r="BF471" s="22" t="str">
        <f>IF(BE471=BC471,"1X",IF(BE471=BC472,"X2",IF(BE471=BC473,"12")))</f>
        <v>12</v>
      </c>
      <c r="BK471" s="109">
        <f t="shared" si="193"/>
        <v>8.3065118857306814E-4</v>
      </c>
      <c r="BL471" s="107" t="s">
        <v>224</v>
      </c>
      <c r="BN471" s="107"/>
    </row>
    <row r="472" spans="51:66">
      <c r="AY472" s="22" t="s">
        <v>168</v>
      </c>
      <c r="BC472" s="110">
        <f>BC442+BF462</f>
        <v>0.51770384956893478</v>
      </c>
      <c r="BD472" s="110"/>
      <c r="BE472" s="110"/>
      <c r="BK472" s="109">
        <f t="shared" si="193"/>
        <v>2.129367729437311E-4</v>
      </c>
      <c r="BL472" s="107" t="s">
        <v>225</v>
      </c>
      <c r="BN472" s="107"/>
    </row>
    <row r="473" spans="51:66">
      <c r="AY473" s="22">
        <v>12</v>
      </c>
      <c r="BC473" s="110">
        <f>AZ462+BF462</f>
        <v>0.79507194141669757</v>
      </c>
      <c r="BD473" s="110"/>
      <c r="BE473" s="110"/>
      <c r="BK473" s="109">
        <f t="shared" si="193"/>
        <v>6.4249979022756962E-2</v>
      </c>
      <c r="BL473" s="107" t="s">
        <v>219</v>
      </c>
      <c r="BN473" s="107"/>
    </row>
    <row r="474" spans="51:66">
      <c r="BK474" s="109">
        <f t="shared" si="193"/>
        <v>3.8431005971019429E-2</v>
      </c>
      <c r="BL474" s="107" t="s">
        <v>221</v>
      </c>
      <c r="BN474" s="107"/>
    </row>
    <row r="475" spans="51:66">
      <c r="AY475" s="22" t="s">
        <v>169</v>
      </c>
      <c r="BE475" s="22" t="s">
        <v>170</v>
      </c>
      <c r="BK475" s="109">
        <f t="shared" si="193"/>
        <v>1.7240576289776779E-2</v>
      </c>
      <c r="BL475" s="107" t="s">
        <v>226</v>
      </c>
      <c r="BN475" s="107"/>
    </row>
    <row r="476" spans="51:66">
      <c r="AY476" s="22" t="s">
        <v>171</v>
      </c>
      <c r="BA476" s="22" t="s">
        <v>172</v>
      </c>
      <c r="BE476" s="22" t="s">
        <v>171</v>
      </c>
      <c r="BG476" s="22" t="s">
        <v>172</v>
      </c>
      <c r="BK476" s="109">
        <f t="shared" si="193"/>
        <v>6.1874512684421124E-3</v>
      </c>
      <c r="BL476" s="107" t="s">
        <v>227</v>
      </c>
      <c r="BN476" s="107"/>
    </row>
    <row r="477" spans="51:66">
      <c r="AY477" s="109">
        <f>SUM(BB434:BB461)+SUM(BE435:BE441)+SUM(BH441:BH461)</f>
        <v>0.88960781809695122</v>
      </c>
      <c r="BA477" s="109">
        <f>SUM(BH434:BH440)+BE434</f>
        <v>0.10770832598982805</v>
      </c>
      <c r="BE477" s="109">
        <f>SUM(BH434:BH461)+SUM(BE435:BE441)+SUM(BB441:BB461)</f>
        <v>0.83145118075278623</v>
      </c>
      <c r="BG477" s="109">
        <f>SUM(BB434:BB440)+BE434</f>
        <v>0.16586496333399303</v>
      </c>
      <c r="BK477" s="109">
        <f t="shared" si="193"/>
        <v>1.8505062589877796E-3</v>
      </c>
      <c r="BL477" s="107" t="s">
        <v>228</v>
      </c>
      <c r="BN477" s="107"/>
    </row>
    <row r="478" spans="51:66">
      <c r="AY478" s="108">
        <f>AY477-BA477</f>
        <v>0.78189949210712317</v>
      </c>
      <c r="AZ478" s="108"/>
      <c r="BA478" s="108"/>
      <c r="BB478" s="108"/>
      <c r="BE478" s="108">
        <f>BE477-BG477</f>
        <v>0.6655862174187932</v>
      </c>
      <c r="BF478" s="108"/>
      <c r="BG478" s="108"/>
      <c r="BH478" s="108"/>
      <c r="BK478" s="109">
        <f t="shared" si="193"/>
        <v>4.7437581083575647E-4</v>
      </c>
      <c r="BL478" s="107" t="s">
        <v>229</v>
      </c>
      <c r="BN478" s="107"/>
    </row>
    <row r="479" spans="51:66">
      <c r="BK479" s="109">
        <f t="shared" si="193"/>
        <v>4.2807870539941104E-2</v>
      </c>
      <c r="BL479" s="107" t="s">
        <v>230</v>
      </c>
      <c r="BN479" s="107"/>
    </row>
    <row r="480" spans="51:66">
      <c r="BK480" s="109">
        <f t="shared" si="193"/>
        <v>1.9204086367223584E-2</v>
      </c>
      <c r="BL480" s="107" t="s">
        <v>231</v>
      </c>
      <c r="BN480" s="107"/>
    </row>
    <row r="481" spans="22:66">
      <c r="BK481" s="109">
        <f t="shared" si="193"/>
        <v>6.8921332184591327E-3</v>
      </c>
      <c r="BL481" s="107" t="s">
        <v>232</v>
      </c>
      <c r="BN481" s="107"/>
    </row>
    <row r="482" spans="22:66">
      <c r="BK482" s="109">
        <f t="shared" si="193"/>
        <v>2.0612583607058331E-3</v>
      </c>
      <c r="BL482" s="107" t="s">
        <v>233</v>
      </c>
      <c r="BN482" s="107"/>
    </row>
    <row r="483" spans="22:66">
      <c r="BK483" s="109">
        <f t="shared" si="193"/>
        <v>5.2840194484760669E-4</v>
      </c>
      <c r="BL483" s="107" t="s">
        <v>234</v>
      </c>
      <c r="BN483" s="107"/>
    </row>
    <row r="484" spans="22:66">
      <c r="BK484" s="109">
        <f t="shared" si="193"/>
        <v>1.4260812283808627E-2</v>
      </c>
      <c r="BL484" s="107" t="s">
        <v>235</v>
      </c>
      <c r="BN484" s="107"/>
    </row>
    <row r="485" spans="22:66">
      <c r="V485" s="108"/>
      <c r="W485" s="108"/>
      <c r="BK485" s="109">
        <f t="shared" si="193"/>
        <v>5.1180470751890977E-3</v>
      </c>
      <c r="BL485" s="107" t="s">
        <v>236</v>
      </c>
      <c r="BN485" s="107"/>
    </row>
    <row r="486" spans="22:66">
      <c r="V486" s="108"/>
      <c r="W486" s="108"/>
      <c r="BK486" s="109">
        <f t="shared" si="193"/>
        <v>1.530675190079702E-3</v>
      </c>
      <c r="BL486" s="107" t="s">
        <v>237</v>
      </c>
      <c r="BN486" s="107"/>
    </row>
    <row r="487" spans="22:66">
      <c r="V487" s="108"/>
      <c r="W487" s="108"/>
      <c r="BK487" s="109">
        <f t="shared" si="193"/>
        <v>3.9238737015535245E-4</v>
      </c>
      <c r="BL487" s="107" t="s">
        <v>238</v>
      </c>
      <c r="BN487" s="107"/>
    </row>
    <row r="488" spans="22:66">
      <c r="BK488" s="109">
        <f t="shared" si="193"/>
        <v>2.8504678849317058E-3</v>
      </c>
      <c r="BL488" s="107" t="s">
        <v>239</v>
      </c>
      <c r="BN488" s="107"/>
    </row>
    <row r="489" spans="22:66">
      <c r="BK489" s="109">
        <f t="shared" si="193"/>
        <v>8.5250104336383409E-4</v>
      </c>
      <c r="BL489" s="107" t="s">
        <v>240</v>
      </c>
      <c r="BN489" s="107"/>
    </row>
    <row r="490" spans="22:66">
      <c r="BK490" s="109">
        <f t="shared" si="193"/>
        <v>2.1853796587818934E-4</v>
      </c>
      <c r="BL490" s="107" t="s">
        <v>241</v>
      </c>
      <c r="BN490" s="107"/>
    </row>
    <row r="491" spans="22:66">
      <c r="BK491" s="109">
        <f t="shared" si="193"/>
        <v>3.7983657598766364E-4</v>
      </c>
      <c r="BL491" s="107" t="s">
        <v>242</v>
      </c>
      <c r="BN491" s="107"/>
    </row>
    <row r="492" spans="22:66">
      <c r="BK492" s="109">
        <f t="shared" si="193"/>
        <v>9.737080479683765E-5</v>
      </c>
      <c r="BL492" s="107" t="s">
        <v>243</v>
      </c>
      <c r="BN492" s="107"/>
    </row>
    <row r="493" spans="22:66">
      <c r="BK493" s="109">
        <f t="shared" si="193"/>
        <v>3.6153419188455463E-5</v>
      </c>
      <c r="BL493" s="107" t="s">
        <v>244</v>
      </c>
      <c r="BN493" s="107"/>
    </row>
    <row r="494" spans="22:66">
      <c r="BN494" s="107"/>
    </row>
    <row r="495" spans="22:66">
      <c r="BN495" s="107"/>
    </row>
    <row r="496" spans="22:66">
      <c r="BN496" s="107"/>
    </row>
    <row r="497" spans="66:66">
      <c r="BN497" s="107"/>
    </row>
    <row r="498" spans="66:66">
      <c r="BN498" s="107"/>
    </row>
    <row r="499" spans="66:66">
      <c r="BN499" s="107"/>
    </row>
    <row r="500" spans="66:66">
      <c r="BN500" s="107"/>
    </row>
    <row r="501" spans="66:66">
      <c r="BN501" s="107"/>
    </row>
    <row r="502" spans="66:66">
      <c r="BN502" s="107"/>
    </row>
    <row r="503" spans="66:66">
      <c r="BN503" s="107"/>
    </row>
    <row r="504" spans="66:66">
      <c r="BN504" s="107"/>
    </row>
    <row r="505" spans="66:66">
      <c r="BN505" s="107"/>
    </row>
    <row r="506" spans="66:66">
      <c r="BN506" s="107"/>
    </row>
    <row r="507" spans="66:66">
      <c r="BN507" s="107"/>
    </row>
    <row r="508" spans="66:66">
      <c r="BN508" s="107"/>
    </row>
    <row r="509" spans="66:66">
      <c r="BN509" s="107"/>
    </row>
    <row r="510" spans="66:66">
      <c r="BN510" s="107"/>
    </row>
    <row r="511" spans="66:66">
      <c r="BN511" s="107"/>
    </row>
    <row r="512" spans="66:66">
      <c r="BN512" s="107"/>
    </row>
    <row r="513" spans="66:66">
      <c r="BN513" s="107"/>
    </row>
    <row r="514" spans="66:66">
      <c r="BN514" s="107"/>
    </row>
    <row r="515" spans="66:66">
      <c r="BN515" s="107"/>
    </row>
    <row r="516" spans="66:66">
      <c r="BN516" s="107"/>
    </row>
    <row r="517" spans="66:66">
      <c r="BN517" s="107"/>
    </row>
    <row r="518" spans="66:66">
      <c r="BN518" s="107"/>
    </row>
    <row r="519" spans="66:66">
      <c r="BN519" s="107"/>
    </row>
    <row r="520" spans="66:66">
      <c r="BN520" s="107"/>
    </row>
    <row r="521" spans="66:66">
      <c r="BN521" s="107"/>
    </row>
    <row r="522" spans="66:66">
      <c r="BN522" s="107"/>
    </row>
    <row r="523" spans="66:66">
      <c r="BN523" s="107"/>
    </row>
    <row r="524" spans="66:66">
      <c r="BN524" s="107"/>
    </row>
    <row r="525" spans="66:66">
      <c r="BN525" s="107"/>
    </row>
    <row r="526" spans="66:66">
      <c r="BN526" s="107"/>
    </row>
    <row r="527" spans="66:66">
      <c r="BN527" s="107"/>
    </row>
    <row r="528" spans="66:66">
      <c r="BN528" s="107"/>
    </row>
    <row r="529" spans="39:66">
      <c r="BN529" s="107"/>
    </row>
    <row r="530" spans="39:66">
      <c r="BN530" s="107"/>
    </row>
    <row r="531" spans="39:66">
      <c r="BN531" s="107"/>
    </row>
    <row r="532" spans="39:66">
      <c r="AM532" s="22" t="s">
        <v>173</v>
      </c>
      <c r="AQ532" s="22" t="s">
        <v>174</v>
      </c>
      <c r="BN532" s="107"/>
    </row>
    <row r="533" spans="39:66">
      <c r="AM533" s="22">
        <f>AN447</f>
        <v>0.97940303032942877</v>
      </c>
      <c r="AN533" s="22">
        <f>AN463</f>
        <v>0</v>
      </c>
      <c r="AO533" s="22">
        <f>SUM(AM533:AN533)</f>
        <v>0.97940303032942877</v>
      </c>
      <c r="AP533" s="22" t="str">
        <f>IF(AO533&gt;AQ533,"OVER 0.5","-")</f>
        <v>OVER 0.5</v>
      </c>
      <c r="AQ533" s="22">
        <f>SUM(AR533:AS533)</f>
        <v>9.2647493894580712E-2</v>
      </c>
      <c r="AR533" s="22">
        <f>AQ448</f>
        <v>9.2647493894580712E-2</v>
      </c>
      <c r="AS533" s="22">
        <f>AQ464</f>
        <v>0</v>
      </c>
      <c r="BN533" s="107"/>
    </row>
    <row r="534" spans="39:66">
      <c r="AM534" s="22" t="s">
        <v>175</v>
      </c>
      <c r="AQ534" s="22" t="s">
        <v>176</v>
      </c>
      <c r="BN534" s="107"/>
    </row>
    <row r="535" spans="39:66">
      <c r="AM535" s="22">
        <f>AN448</f>
        <v>0.90735250610541929</v>
      </c>
      <c r="AN535" s="22">
        <f>AN464</f>
        <v>0</v>
      </c>
      <c r="AO535" s="22">
        <f>SUM(AM535:AN535)</f>
        <v>0.90735250610541929</v>
      </c>
      <c r="AP535" s="22" t="str">
        <f>IF(AO535&gt;AQ535,"OVER 1.5","-")</f>
        <v>OVER 1.5</v>
      </c>
      <c r="AQ535" s="22">
        <f>SUM(AR535:AS535)</f>
        <v>0.23754910372286675</v>
      </c>
      <c r="AR535" s="22">
        <f>AQ449</f>
        <v>0.23754910372286675</v>
      </c>
      <c r="AS535" s="22">
        <f>AQ465</f>
        <v>0</v>
      </c>
      <c r="BN535" s="107"/>
    </row>
    <row r="536" spans="39:66">
      <c r="AM536" s="22" t="s">
        <v>177</v>
      </c>
      <c r="AQ536" s="22" t="s">
        <v>178</v>
      </c>
      <c r="BN536" s="107"/>
    </row>
    <row r="537" spans="39:66">
      <c r="AM537" s="22">
        <f>AN449</f>
        <v>0.76245089627713325</v>
      </c>
      <c r="AN537" s="22">
        <f>AN465</f>
        <v>0</v>
      </c>
      <c r="AO537" s="22">
        <f>SUM(AM537:AN537)</f>
        <v>0.76245089627713325</v>
      </c>
      <c r="AP537" s="22" t="str">
        <f>IF(AO537&gt;AQ537,"OVER 2.5","-")</f>
        <v>OVER 2.5</v>
      </c>
      <c r="AQ537" s="22">
        <f>SUM(AR537:AS537)</f>
        <v>0.43182459541856866</v>
      </c>
      <c r="AR537" s="22">
        <f>AQ450</f>
        <v>0.43182459541856866</v>
      </c>
      <c r="AS537" s="22">
        <f>AQ466</f>
        <v>0</v>
      </c>
      <c r="BN537" s="107"/>
    </row>
    <row r="538" spans="39:66">
      <c r="BN538" s="107"/>
    </row>
    <row r="539" spans="39:66">
      <c r="BN539" s="107"/>
    </row>
    <row r="540" spans="39:66">
      <c r="BN540" s="107"/>
    </row>
    <row r="541" spans="39:66">
      <c r="BN541" s="107"/>
    </row>
    <row r="542" spans="39:66">
      <c r="BN542" s="107"/>
    </row>
    <row r="543" spans="39:66">
      <c r="BN543" s="107"/>
    </row>
    <row r="544" spans="39:66">
      <c r="BN544" s="107"/>
    </row>
    <row r="545" spans="39:66">
      <c r="AM545" s="110" t="e">
        <f>#REF!</f>
        <v>#REF!</v>
      </c>
      <c r="AN545" s="110" t="e">
        <f>1-(AM545+AO545)</f>
        <v>#REF!</v>
      </c>
      <c r="AO545" s="110" t="e">
        <f>#REF!</f>
        <v>#REF!</v>
      </c>
      <c r="AP545" s="22" t="e">
        <f>IF(AND(AN545&gt;AM545,AN545&gt;AO545),"X",IF(AM545-AO545&gt;=0.33,"1",IF(AM545&gt;AO545,"1X",IF(AO545-AM545&gt;=0.33,"2",IF(AO545&gt;AM545,"X2")))))</f>
        <v>#REF!</v>
      </c>
      <c r="AR545" s="110" t="e">
        <f>SUM(AM545:AO545)</f>
        <v>#REF!</v>
      </c>
      <c r="BN545" s="107"/>
    </row>
    <row r="546" spans="39:66">
      <c r="AM546" s="22">
        <f>SUM(O431:O445)</f>
        <v>4.5</v>
      </c>
      <c r="AN546" s="108">
        <f>SUM(O448:O462)</f>
        <v>2.5</v>
      </c>
      <c r="AP546" s="108"/>
      <c r="AQ546" s="108">
        <f>(AM546+AN434+AO434)/3</f>
        <v>3.2333333333333329</v>
      </c>
      <c r="AR546" s="108">
        <f>(AN546+AQ434+AR434)/3</f>
        <v>2.0333333333333332</v>
      </c>
      <c r="AS546" s="108">
        <f>SUM(AQ546:AR546)</f>
        <v>5.2666666666666657</v>
      </c>
      <c r="BN546" s="107"/>
    </row>
    <row r="547" spans="39:66">
      <c r="AM547" s="22">
        <f>SUM(AG432:AG446)</f>
        <v>4.5</v>
      </c>
      <c r="AN547" s="22">
        <f>SUM(AG450:AG464)</f>
        <v>2.5</v>
      </c>
      <c r="BN547" s="107"/>
    </row>
    <row r="548" spans="39:66">
      <c r="BN548" s="107"/>
    </row>
    <row r="549" spans="39:66">
      <c r="AM549" s="22">
        <f>AVERAGE(AM546:AM547)</f>
        <v>4.5</v>
      </c>
      <c r="AN549" s="22">
        <f>AVERAGE(AN546:AN547)</f>
        <v>2.5</v>
      </c>
      <c r="AQ549" s="108">
        <f>(AM549+AN434+AO434)/3</f>
        <v>3.2333333333333329</v>
      </c>
      <c r="AR549" s="108">
        <f>(AN549+AQ434+AR434)/3</f>
        <v>2.0333333333333332</v>
      </c>
      <c r="BN549" s="107"/>
    </row>
    <row r="550" spans="39:66">
      <c r="AQ550" s="22">
        <f>(AM549+AN435+AO435)/3</f>
        <v>3.5666666666666664</v>
      </c>
      <c r="AR550" s="22">
        <f>(AN549+AQ435+AR435)/3</f>
        <v>3.0333333333333332</v>
      </c>
      <c r="BN550" s="107"/>
    </row>
    <row r="551" spans="39:66">
      <c r="BN551" s="107"/>
    </row>
    <row r="552" spans="39:66">
      <c r="BN552" s="107"/>
    </row>
    <row r="553" spans="39:66">
      <c r="AM553" s="108">
        <f>(AM547+AO434)/2</f>
        <v>3.55</v>
      </c>
      <c r="AN553" s="108">
        <f>(AN546+AQ434)/2</f>
        <v>2.15</v>
      </c>
      <c r="AQ553" s="108">
        <f>AVERAGE(AQ549:AQ550)</f>
        <v>3.3999999999999995</v>
      </c>
      <c r="AR553" s="108">
        <f>AVERAGE(AR549:AR550)</f>
        <v>2.5333333333333332</v>
      </c>
      <c r="BN553" s="107"/>
    </row>
  </sheetData>
  <sheetProtection selectLockedCells="1"/>
  <mergeCells count="125">
    <mergeCell ref="AZ164:BF164"/>
    <mergeCell ref="BG164:BM164"/>
    <mergeCell ref="BN164:BT164"/>
    <mergeCell ref="BY164:CB164"/>
    <mergeCell ref="BU164:BX164"/>
    <mergeCell ref="AM165:AN165"/>
    <mergeCell ref="AO165:AP165"/>
    <mergeCell ref="H90:I90"/>
    <mergeCell ref="K90:L90"/>
    <mergeCell ref="H94:I94"/>
    <mergeCell ref="BY143:CB143"/>
    <mergeCell ref="AM144:AN144"/>
    <mergeCell ref="AO144:AP144"/>
    <mergeCell ref="BU143:BX143"/>
    <mergeCell ref="AZ143:BF143"/>
    <mergeCell ref="BG143:BM143"/>
    <mergeCell ref="AP92:AQ92"/>
    <mergeCell ref="AP93:AQ93"/>
    <mergeCell ref="AP94:AQ94"/>
    <mergeCell ref="AP96:AR96"/>
    <mergeCell ref="AP97:AQ97"/>
    <mergeCell ref="AP98:AQ98"/>
    <mergeCell ref="BN143:BT143"/>
    <mergeCell ref="CW121:DD121"/>
    <mergeCell ref="AP99:AQ99"/>
    <mergeCell ref="AP101:AR101"/>
    <mergeCell ref="AP102:AQ102"/>
    <mergeCell ref="AP103:AQ103"/>
    <mergeCell ref="AP104:AQ104"/>
    <mergeCell ref="AO108:BD111"/>
    <mergeCell ref="AP81:AQ81"/>
    <mergeCell ref="AP82:AQ82"/>
    <mergeCell ref="AP83:AQ83"/>
    <mergeCell ref="AP85:AR85"/>
    <mergeCell ref="AP86:AQ86"/>
    <mergeCell ref="AP87:AQ87"/>
    <mergeCell ref="AP88:AQ88"/>
    <mergeCell ref="CW89:DD89"/>
    <mergeCell ref="AP91:AR91"/>
    <mergeCell ref="AP75:AR75"/>
    <mergeCell ref="AP76:AQ76"/>
    <mergeCell ref="AP72:AQ72"/>
    <mergeCell ref="AP73:AQ73"/>
    <mergeCell ref="AP70:AR70"/>
    <mergeCell ref="AP71:AQ71"/>
    <mergeCell ref="AP77:AQ77"/>
    <mergeCell ref="AP78:AQ78"/>
    <mergeCell ref="AP80:AR80"/>
    <mergeCell ref="AP68:AQ68"/>
    <mergeCell ref="DO68:DW68"/>
    <mergeCell ref="DF69:DG69"/>
    <mergeCell ref="DH69:DI69"/>
    <mergeCell ref="DP66:DQ66"/>
    <mergeCell ref="DU66:DV66"/>
    <mergeCell ref="AP67:AQ67"/>
    <mergeCell ref="AY67:AY69"/>
    <mergeCell ref="AZ67:AZ69"/>
    <mergeCell ref="BA67:BA69"/>
    <mergeCell ref="DW65:DW67"/>
    <mergeCell ref="AP66:AQ66"/>
    <mergeCell ref="DU67:DV67"/>
    <mergeCell ref="AY59:BA59"/>
    <mergeCell ref="DP59:DS60"/>
    <mergeCell ref="AP60:AR60"/>
    <mergeCell ref="AY60:AY62"/>
    <mergeCell ref="AZ60:AZ62"/>
    <mergeCell ref="BA60:BA62"/>
    <mergeCell ref="AP61:AQ61"/>
    <mergeCell ref="AP62:AQ62"/>
    <mergeCell ref="DP67:DQ67"/>
    <mergeCell ref="AP63:AQ63"/>
    <mergeCell ref="DO63:DW63"/>
    <mergeCell ref="DO64:DW64"/>
    <mergeCell ref="AP65:AR65"/>
    <mergeCell ref="AY65:BA66"/>
    <mergeCell ref="DO65:DO67"/>
    <mergeCell ref="DP65:DQ65"/>
    <mergeCell ref="DU65:DV65"/>
    <mergeCell ref="AP55:AQ55"/>
    <mergeCell ref="AR55:AS55"/>
    <mergeCell ref="BC56:BD56"/>
    <mergeCell ref="BE56:BF56"/>
    <mergeCell ref="BG56:BH56"/>
    <mergeCell ref="DP56:DU56"/>
    <mergeCell ref="AP57:AQ57"/>
    <mergeCell ref="AR57:AS57"/>
    <mergeCell ref="CW57:DD57"/>
    <mergeCell ref="DF57:DG57"/>
    <mergeCell ref="DH57:DI57"/>
    <mergeCell ref="DP57:DS58"/>
    <mergeCell ref="AP58:AQ58"/>
    <mergeCell ref="AR58:AS58"/>
    <mergeCell ref="BP51:BR52"/>
    <mergeCell ref="BS51:BX51"/>
    <mergeCell ref="BY51:CD51"/>
    <mergeCell ref="CE51:CJ51"/>
    <mergeCell ref="CW54:CY54"/>
    <mergeCell ref="DB54:DB55"/>
    <mergeCell ref="DC54:DD55"/>
    <mergeCell ref="CK51:CL51"/>
    <mergeCell ref="CM51:CN51"/>
    <mergeCell ref="AP50:AX50"/>
    <mergeCell ref="BP50:CQ50"/>
    <mergeCell ref="CW50:DC50"/>
    <mergeCell ref="BC51:BD51"/>
    <mergeCell ref="BE51:BF51"/>
    <mergeCell ref="BG51:BH51"/>
    <mergeCell ref="BJ51:BK51"/>
    <mergeCell ref="BL51:BM51"/>
    <mergeCell ref="CO51:CP51"/>
    <mergeCell ref="CQ51:CQ52"/>
    <mergeCell ref="AP52:AQ52"/>
    <mergeCell ref="AR52:AS52"/>
    <mergeCell ref="AT52:AU52"/>
    <mergeCell ref="BC52:BD55"/>
    <mergeCell ref="BE52:BF55"/>
    <mergeCell ref="BG52:BH55"/>
    <mergeCell ref="AP54:AQ54"/>
    <mergeCell ref="AR54:AS54"/>
    <mergeCell ref="DB52:DB53"/>
    <mergeCell ref="DC52:DD53"/>
    <mergeCell ref="AP53:AQ53"/>
    <mergeCell ref="AR53:AS53"/>
    <mergeCell ref="AT53:AU53"/>
    <mergeCell ref="CW53:CY53"/>
  </mergeCells>
  <dataValidations count="2">
    <dataValidation type="list" allowBlank="1" showInputMessage="1" showErrorMessage="1" sqref="DU66:DV67" xr:uid="{00000000-0002-0000-0100-000000000000}">
      <formula1>$E$141:$E$194</formula1>
    </dataValidation>
    <dataValidation type="list" allowBlank="1" showInputMessage="1" showErrorMessage="1" sqref="DT66:DT67" xr:uid="{00000000-0002-0000-0100-000001000000}">
      <formula1>$C$141:$C$151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B2:N13"/>
  <sheetViews>
    <sheetView workbookViewId="0">
      <selection activeCell="J16" sqref="J16"/>
    </sheetView>
  </sheetViews>
  <sheetFormatPr defaultColWidth="9.140625" defaultRowHeight="15"/>
  <sheetData>
    <row r="2" spans="2:14">
      <c r="K2" t="s">
        <v>179</v>
      </c>
      <c r="L2" t="s">
        <v>180</v>
      </c>
      <c r="N2" t="s">
        <v>159</v>
      </c>
    </row>
    <row r="3" spans="2:14">
      <c r="B3">
        <v>1</v>
      </c>
      <c r="C3">
        <f>система!L440</f>
        <v>3</v>
      </c>
      <c r="D3">
        <f>система!M440</f>
        <v>6</v>
      </c>
      <c r="F3">
        <v>1</v>
      </c>
      <c r="G3">
        <f>система!L457</f>
        <v>1</v>
      </c>
      <c r="H3">
        <f>система!M457</f>
        <v>1</v>
      </c>
      <c r="K3">
        <f>AVERAGE(C13,H13)</f>
        <v>3.0666666666666664</v>
      </c>
      <c r="L3">
        <f>AVERAGE(D13,G13)</f>
        <v>2.7666666666666666</v>
      </c>
      <c r="N3">
        <f>SUM(K3:L3)</f>
        <v>5.833333333333333</v>
      </c>
    </row>
    <row r="4" spans="2:14">
      <c r="B4">
        <v>2</v>
      </c>
      <c r="C4">
        <f>система!L439</f>
        <v>3</v>
      </c>
      <c r="D4">
        <f>система!M439</f>
        <v>3</v>
      </c>
      <c r="F4">
        <v>2</v>
      </c>
      <c r="G4">
        <f>система!L456</f>
        <v>0</v>
      </c>
      <c r="H4">
        <f>система!M456</f>
        <v>2</v>
      </c>
      <c r="K4" t="str">
        <f>IF(K3&gt;=7,"7",IF(K3&gt;=6,"6",IF(K3&gt;=5,"5",IF(K3&gt;=4,"4",IF(K3&gt;=3,"3",IF(K3&gt;=2,"2",IF(K3&gt;=1,"1","0")))))))</f>
        <v>3</v>
      </c>
      <c r="L4" t="str">
        <f>IF(L3&gt;=7,"7",IF(L3&gt;=6,"6",IF(L3&gt;=5,"5",IF(L3&gt;=4,"4",IF(L3&gt;=3,"3",IF(L3&gt;=2,"2",IF(L3&gt;=1,"1","0")))))))</f>
        <v>2</v>
      </c>
    </row>
    <row r="5" spans="2:14">
      <c r="B5">
        <v>3</v>
      </c>
      <c r="C5">
        <f>система!L438</f>
        <v>2</v>
      </c>
      <c r="D5">
        <f>система!M438</f>
        <v>3</v>
      </c>
      <c r="F5">
        <v>3</v>
      </c>
      <c r="G5">
        <f>система!L455</f>
        <v>1</v>
      </c>
      <c r="H5">
        <f>система!M455</f>
        <v>4</v>
      </c>
    </row>
    <row r="6" spans="2:14">
      <c r="B6">
        <v>4</v>
      </c>
      <c r="C6">
        <f>система!L437</f>
        <v>3</v>
      </c>
      <c r="D6">
        <f>система!M437</f>
        <v>3</v>
      </c>
      <c r="F6">
        <v>4</v>
      </c>
      <c r="G6">
        <f>система!L454</f>
        <v>0</v>
      </c>
      <c r="H6">
        <f>система!M454</f>
        <v>6</v>
      </c>
      <c r="N6" t="str">
        <f>IF(N3&gt;=3.5,"Over 2.5",IF(N3&gt;=2.5,"Over 1.5",IF(N3&lt;=0.5,"Under 2.5",IF(N3&lt;2,"Under 3.5","NB"))))</f>
        <v>Over 2.5</v>
      </c>
    </row>
    <row r="7" spans="2:14">
      <c r="B7">
        <v>5</v>
      </c>
      <c r="C7">
        <f>система!L436</f>
        <v>3</v>
      </c>
      <c r="D7">
        <f>система!M436</f>
        <v>2</v>
      </c>
      <c r="F7">
        <v>5</v>
      </c>
      <c r="G7">
        <f>система!L453</f>
        <v>3</v>
      </c>
      <c r="H7">
        <f>система!M453</f>
        <v>4</v>
      </c>
    </row>
    <row r="8" spans="2:14">
      <c r="B8">
        <v>6</v>
      </c>
      <c r="C8">
        <f>система!L435</f>
        <v>3</v>
      </c>
      <c r="D8">
        <f>система!M435</f>
        <v>3</v>
      </c>
      <c r="F8">
        <v>6</v>
      </c>
      <c r="G8">
        <f>система!L452</f>
        <v>1</v>
      </c>
      <c r="H8">
        <f>система!M452</f>
        <v>4</v>
      </c>
    </row>
    <row r="9" spans="2:14">
      <c r="B9">
        <v>7</v>
      </c>
      <c r="C9">
        <f>система!L434</f>
        <v>1</v>
      </c>
      <c r="D9">
        <f>система!M434</f>
        <v>4</v>
      </c>
      <c r="F9">
        <v>7</v>
      </c>
      <c r="G9">
        <f>система!L451</f>
        <v>4</v>
      </c>
      <c r="H9">
        <f>система!M451</f>
        <v>1</v>
      </c>
    </row>
    <row r="10" spans="2:14">
      <c r="B10">
        <v>8</v>
      </c>
      <c r="C10">
        <f>система!L433</f>
        <v>4</v>
      </c>
      <c r="D10">
        <f>система!M433</f>
        <v>3</v>
      </c>
      <c r="F10">
        <v>8</v>
      </c>
      <c r="G10">
        <f>система!L450</f>
        <v>1</v>
      </c>
      <c r="H10">
        <f>система!M450</f>
        <v>4</v>
      </c>
    </row>
    <row r="11" spans="2:14">
      <c r="B11">
        <v>9</v>
      </c>
      <c r="C11">
        <f>система!L432</f>
        <v>3</v>
      </c>
      <c r="D11">
        <f>система!M432</f>
        <v>3</v>
      </c>
      <c r="F11">
        <v>9</v>
      </c>
      <c r="G11">
        <f>система!L449</f>
        <v>2</v>
      </c>
      <c r="H11">
        <f>система!M449</f>
        <v>2</v>
      </c>
    </row>
    <row r="12" spans="2:14">
      <c r="B12">
        <v>10</v>
      </c>
      <c r="C12">
        <f>система!L431</f>
        <v>1</v>
      </c>
      <c r="D12">
        <f>система!M431</f>
        <v>1</v>
      </c>
      <c r="F12">
        <v>10</v>
      </c>
      <c r="G12">
        <f>система!L448</f>
        <v>5</v>
      </c>
      <c r="H12">
        <f>система!M448</f>
        <v>5</v>
      </c>
    </row>
    <row r="13" spans="2:14">
      <c r="B13">
        <v>11</v>
      </c>
      <c r="C13">
        <f>FORECAST(B13,C3:C12,B3:B12)</f>
        <v>2.1333333333333337</v>
      </c>
      <c r="D13">
        <f>FORECAST(B13,D3:D12,B3:B12)</f>
        <v>1.7333333333333334</v>
      </c>
      <c r="F13">
        <v>11</v>
      </c>
      <c r="G13">
        <f>FORECAST(F13,G3:G12,F3:F12)</f>
        <v>3.8</v>
      </c>
      <c r="H13">
        <f>FORECAST(F13,H3:H12,F3:F12)</f>
        <v>3.9999999999999996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BORDBET</dc:creator>
  <cp:lastModifiedBy>Савва Масленников</cp:lastModifiedBy>
  <dcterms:created xsi:type="dcterms:W3CDTF">2018-06-22T17:02:28Z</dcterms:created>
  <dcterms:modified xsi:type="dcterms:W3CDTF">2025-12-24T01:12:31Z</dcterms:modified>
</cp:coreProperties>
</file>